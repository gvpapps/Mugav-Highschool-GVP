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mdm app\"/>
    </mc:Choice>
  </mc:AlternateContent>
  <bookViews>
    <workbookView xWindow="360" yWindow="300" windowWidth="14895" windowHeight="7875" activeTab="3"/>
  </bookViews>
  <sheets>
    <sheet name="2016-17" sheetId="2" r:id="rId1"/>
    <sheet name="Sheet1" sheetId="3" r:id="rId2"/>
    <sheet name="Sheet2" sheetId="4" r:id="rId3"/>
    <sheet name="1 to 5 (2)" sheetId="6" r:id="rId4"/>
    <sheet name="Sheet4" sheetId="7" r:id="rId5"/>
    <sheet name="Sheet3" sheetId="8" r:id="rId6"/>
  </sheets>
  <calcPr calcId="152511"/>
</workbook>
</file>

<file path=xl/calcChain.xml><?xml version="1.0" encoding="utf-8"?>
<calcChain xmlns="http://schemas.openxmlformats.org/spreadsheetml/2006/main">
  <c r="I6" i="7" l="1"/>
  <c r="I7" i="7" s="1"/>
  <c r="F41" i="6"/>
  <c r="E45" i="6" s="1"/>
  <c r="C13" i="7"/>
  <c r="E13" i="7" s="1"/>
  <c r="N13" i="7"/>
  <c r="N14" i="7" s="1"/>
  <c r="S45" i="6"/>
  <c r="L9" i="6"/>
  <c r="L41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10" i="6"/>
  <c r="B25" i="6"/>
  <c r="B10" i="6"/>
  <c r="D11" i="7"/>
  <c r="D12" i="7"/>
  <c r="D15" i="7"/>
  <c r="L17" i="7"/>
  <c r="L16" i="7"/>
  <c r="L15" i="7"/>
  <c r="L14" i="7"/>
  <c r="L13" i="7"/>
  <c r="L12" i="7"/>
  <c r="L24" i="7"/>
  <c r="L18" i="7"/>
  <c r="L19" i="7"/>
  <c r="L20" i="7"/>
  <c r="L21" i="7"/>
  <c r="L22" i="7"/>
  <c r="L23" i="7"/>
  <c r="L11" i="7"/>
  <c r="E24" i="7"/>
  <c r="G24" i="7" s="1"/>
  <c r="M24" i="7" s="1"/>
  <c r="D23" i="7"/>
  <c r="D22" i="7"/>
  <c r="D21" i="7"/>
  <c r="D20" i="7"/>
  <c r="D19" i="7"/>
  <c r="D18" i="7"/>
  <c r="C23" i="7"/>
  <c r="C22" i="7"/>
  <c r="E22" i="7" s="1"/>
  <c r="C21" i="7"/>
  <c r="C20" i="7"/>
  <c r="C19" i="7"/>
  <c r="C18" i="7"/>
  <c r="E18" i="7" s="1"/>
  <c r="C15" i="7"/>
  <c r="I10" i="6"/>
  <c r="J10" i="6"/>
  <c r="C12" i="7"/>
  <c r="M9" i="6"/>
  <c r="M10" i="6"/>
  <c r="N10" i="6"/>
  <c r="C11" i="7"/>
  <c r="E19" i="7" l="1"/>
  <c r="L42" i="6"/>
  <c r="E11" i="7"/>
  <c r="E12" i="7"/>
  <c r="E21" i="7"/>
  <c r="E23" i="7"/>
  <c r="E20" i="7"/>
  <c r="E15" i="7"/>
  <c r="I41" i="6"/>
  <c r="U10" i="6"/>
  <c r="T10" i="6"/>
  <c r="S10" i="6"/>
  <c r="R10" i="6"/>
  <c r="Q10" i="6"/>
  <c r="P10" i="6"/>
  <c r="O10" i="6"/>
  <c r="O41" i="6" s="1"/>
  <c r="K10" i="6"/>
  <c r="H10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27" i="6"/>
  <c r="M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M16" i="7" l="1"/>
  <c r="F13" i="7"/>
  <c r="G13" i="7" s="1"/>
  <c r="M13" i="7" s="1"/>
  <c r="H41" i="6"/>
  <c r="F12" i="7" s="1"/>
  <c r="G12" i="7" s="1"/>
  <c r="M12" i="7" s="1"/>
  <c r="K41" i="6"/>
  <c r="S41" i="6"/>
  <c r="F21" i="7" s="1"/>
  <c r="G21" i="7" s="1"/>
  <c r="M21" i="7" s="1"/>
  <c r="N41" i="6"/>
  <c r="M17" i="7" s="1"/>
  <c r="M14" i="7"/>
  <c r="Q41" i="6"/>
  <c r="F20" i="7" s="1"/>
  <c r="G20" i="7" s="1"/>
  <c r="M20" i="7" s="1"/>
  <c r="U41" i="6"/>
  <c r="F23" i="7" s="1"/>
  <c r="G23" i="7" s="1"/>
  <c r="M23" i="7" s="1"/>
  <c r="R41" i="6"/>
  <c r="P41" i="6"/>
  <c r="F19" i="7" s="1"/>
  <c r="G19" i="7" s="1"/>
  <c r="M19" i="7" s="1"/>
  <c r="T41" i="6"/>
  <c r="F22" i="7" s="1"/>
  <c r="G22" i="7" s="1"/>
  <c r="M22" i="7" s="1"/>
  <c r="F18" i="7"/>
  <c r="G18" i="7" s="1"/>
  <c r="M18" i="7" s="1"/>
  <c r="P9" i="6"/>
  <c r="Q9" i="6"/>
  <c r="S9" i="6"/>
  <c r="T9" i="6"/>
  <c r="U9" i="6"/>
  <c r="O9" i="6"/>
  <c r="H46" i="3"/>
  <c r="I46" i="3" s="1"/>
  <c r="K46" i="3" s="1"/>
  <c r="H38" i="3"/>
  <c r="J38" i="3" s="1"/>
  <c r="J30" i="3"/>
  <c r="I30" i="3"/>
  <c r="K30" i="3" s="1"/>
  <c r="H30" i="3"/>
  <c r="H22" i="3"/>
  <c r="I22" i="3" s="1"/>
  <c r="K22" i="3" s="1"/>
  <c r="K14" i="3"/>
  <c r="J14" i="3"/>
  <c r="L14" i="3" s="1"/>
  <c r="I14" i="3"/>
  <c r="H6" i="3"/>
  <c r="I6" i="3" s="1"/>
  <c r="K6" i="3" s="1"/>
  <c r="AK23" i="2"/>
  <c r="AJ23" i="2"/>
  <c r="AL23" i="2" s="1"/>
  <c r="E23" i="2"/>
  <c r="H23" i="2" s="1"/>
  <c r="K23" i="2" s="1"/>
  <c r="N23" i="2" s="1"/>
  <c r="Q23" i="2" s="1"/>
  <c r="T23" i="2" s="1"/>
  <c r="W23" i="2" s="1"/>
  <c r="Z23" i="2" s="1"/>
  <c r="AC23" i="2" s="1"/>
  <c r="AF23" i="2" s="1"/>
  <c r="AI23" i="2" s="1"/>
  <c r="AJ22" i="2"/>
  <c r="AJ21" i="2"/>
  <c r="AJ20" i="2"/>
  <c r="AJ19" i="2"/>
  <c r="AJ18" i="2"/>
  <c r="AJ17" i="2"/>
  <c r="AK16" i="2"/>
  <c r="AJ16" i="2"/>
  <c r="E16" i="2"/>
  <c r="H16" i="2" s="1"/>
  <c r="K16" i="2" s="1"/>
  <c r="N16" i="2" s="1"/>
  <c r="Q16" i="2" s="1"/>
  <c r="T16" i="2" s="1"/>
  <c r="W16" i="2" s="1"/>
  <c r="Z16" i="2" s="1"/>
  <c r="AC16" i="2" s="1"/>
  <c r="AF16" i="2" s="1"/>
  <c r="AI16" i="2" s="1"/>
  <c r="AK15" i="2"/>
  <c r="AJ15" i="2"/>
  <c r="AL15" i="2" s="1"/>
  <c r="E15" i="2"/>
  <c r="H15" i="2" s="1"/>
  <c r="K15" i="2" s="1"/>
  <c r="N15" i="2" s="1"/>
  <c r="Q15" i="2" s="1"/>
  <c r="T15" i="2" s="1"/>
  <c r="W15" i="2" s="1"/>
  <c r="Z15" i="2" s="1"/>
  <c r="AC15" i="2" s="1"/>
  <c r="AF15" i="2" s="1"/>
  <c r="AI15" i="2" s="1"/>
  <c r="AK14" i="2"/>
  <c r="AJ14" i="2"/>
  <c r="E14" i="2"/>
  <c r="H14" i="2" s="1"/>
  <c r="K14" i="2" s="1"/>
  <c r="N14" i="2" s="1"/>
  <c r="Q14" i="2" s="1"/>
  <c r="T14" i="2" s="1"/>
  <c r="W14" i="2" s="1"/>
  <c r="Z14" i="2" s="1"/>
  <c r="AC14" i="2" s="1"/>
  <c r="AF14" i="2" s="1"/>
  <c r="AI14" i="2" s="1"/>
  <c r="AK13" i="2"/>
  <c r="AJ13" i="2"/>
  <c r="AL13" i="2" s="1"/>
  <c r="E13" i="2"/>
  <c r="H13" i="2" s="1"/>
  <c r="K13" i="2" s="1"/>
  <c r="N13" i="2" s="1"/>
  <c r="Q13" i="2" s="1"/>
  <c r="T13" i="2" s="1"/>
  <c r="W13" i="2" s="1"/>
  <c r="Z13" i="2" s="1"/>
  <c r="AC13" i="2" s="1"/>
  <c r="AF13" i="2" s="1"/>
  <c r="AI13" i="2" s="1"/>
  <c r="AK12" i="2"/>
  <c r="AJ12" i="2"/>
  <c r="E12" i="2"/>
  <c r="H12" i="2" s="1"/>
  <c r="K12" i="2" s="1"/>
  <c r="N12" i="2" s="1"/>
  <c r="Q12" i="2" s="1"/>
  <c r="T12" i="2" s="1"/>
  <c r="W12" i="2" s="1"/>
  <c r="Z12" i="2" s="1"/>
  <c r="AC12" i="2" s="1"/>
  <c r="AF12" i="2" s="1"/>
  <c r="AI12" i="2" s="1"/>
  <c r="AK11" i="2"/>
  <c r="AJ11" i="2"/>
  <c r="E11" i="2"/>
  <c r="H11" i="2" s="1"/>
  <c r="K11" i="2" s="1"/>
  <c r="N11" i="2" s="1"/>
  <c r="Q11" i="2" s="1"/>
  <c r="T11" i="2" s="1"/>
  <c r="W11" i="2" s="1"/>
  <c r="Z11" i="2" s="1"/>
  <c r="AC11" i="2" s="1"/>
  <c r="AF11" i="2" s="1"/>
  <c r="AI11" i="2" s="1"/>
  <c r="AJ10" i="2"/>
  <c r="AJ8" i="2"/>
  <c r="I7" i="2"/>
  <c r="J22" i="2" s="1"/>
  <c r="AG6" i="2"/>
  <c r="AG7" i="2" s="1"/>
  <c r="AD6" i="2"/>
  <c r="AD7" i="2" s="1"/>
  <c r="AA6" i="2"/>
  <c r="AA7" i="2" s="1"/>
  <c r="X6" i="2"/>
  <c r="X7" i="2" s="1"/>
  <c r="U6" i="2"/>
  <c r="U7" i="2" s="1"/>
  <c r="R6" i="2"/>
  <c r="R7" i="2" s="1"/>
  <c r="O6" i="2"/>
  <c r="O7" i="2" s="1"/>
  <c r="L6" i="2"/>
  <c r="L7" i="2" s="1"/>
  <c r="F6" i="2"/>
  <c r="F7" i="2" s="1"/>
  <c r="C6" i="2"/>
  <c r="C7" i="2" s="1"/>
  <c r="L30" i="3" l="1"/>
  <c r="J22" i="3"/>
  <c r="L22" i="3" s="1"/>
  <c r="L38" i="3"/>
  <c r="I38" i="3"/>
  <c r="K38" i="3" s="1"/>
  <c r="AL11" i="2"/>
  <c r="F15" i="7"/>
  <c r="G15" i="7" s="1"/>
  <c r="M15" i="7" s="1"/>
  <c r="Q42" i="6"/>
  <c r="T42" i="6"/>
  <c r="P42" i="6"/>
  <c r="U42" i="6"/>
  <c r="S42" i="6"/>
  <c r="O42" i="6"/>
  <c r="R9" i="6"/>
  <c r="R42" i="6" s="1"/>
  <c r="M42" i="6"/>
  <c r="I9" i="6"/>
  <c r="I42" i="6" s="1"/>
  <c r="J9" i="6"/>
  <c r="J42" i="6" s="1"/>
  <c r="N9" i="6"/>
  <c r="N42" i="6" s="1"/>
  <c r="K9" i="6"/>
  <c r="K42" i="6" s="1"/>
  <c r="H9" i="6"/>
  <c r="H42" i="6" s="1"/>
  <c r="G41" i="6"/>
  <c r="V10" i="6"/>
  <c r="V41" i="6" s="1"/>
  <c r="AL16" i="2"/>
  <c r="AL14" i="2"/>
  <c r="AL12" i="2"/>
  <c r="P22" i="2"/>
  <c r="P21" i="2"/>
  <c r="P20" i="2"/>
  <c r="P19" i="2"/>
  <c r="P18" i="2"/>
  <c r="P17" i="2"/>
  <c r="P10" i="2"/>
  <c r="M22" i="2"/>
  <c r="M21" i="2"/>
  <c r="M20" i="2"/>
  <c r="M19" i="2"/>
  <c r="M18" i="2"/>
  <c r="M17" i="2"/>
  <c r="M10" i="2"/>
  <c r="G22" i="2"/>
  <c r="G21" i="2"/>
  <c r="G20" i="2"/>
  <c r="G19" i="2"/>
  <c r="G18" i="2"/>
  <c r="G17" i="2"/>
  <c r="G10" i="2"/>
  <c r="V22" i="2"/>
  <c r="V21" i="2"/>
  <c r="V20" i="2"/>
  <c r="V19" i="2"/>
  <c r="V18" i="2"/>
  <c r="V17" i="2"/>
  <c r="V10" i="2"/>
  <c r="AH22" i="2"/>
  <c r="AH21" i="2"/>
  <c r="AH20" i="2"/>
  <c r="AH19" i="2"/>
  <c r="AH18" i="2"/>
  <c r="AH17" i="2"/>
  <c r="AH10" i="2"/>
  <c r="D22" i="2"/>
  <c r="E22" i="2" s="1"/>
  <c r="D21" i="2"/>
  <c r="E21" i="2" s="1"/>
  <c r="D20" i="2"/>
  <c r="E20" i="2" s="1"/>
  <c r="H20" i="2" s="1"/>
  <c r="D19" i="2"/>
  <c r="E19" i="2" s="1"/>
  <c r="D18" i="2"/>
  <c r="E18" i="2" s="1"/>
  <c r="D17" i="2"/>
  <c r="E17" i="2" s="1"/>
  <c r="D10" i="2"/>
  <c r="E10" i="2" s="1"/>
  <c r="H10" i="2" s="1"/>
  <c r="S22" i="2"/>
  <c r="S21" i="2"/>
  <c r="S20" i="2"/>
  <c r="S19" i="2"/>
  <c r="S18" i="2"/>
  <c r="S17" i="2"/>
  <c r="S10" i="2"/>
  <c r="AE10" i="2"/>
  <c r="AE22" i="2"/>
  <c r="AE21" i="2"/>
  <c r="AE20" i="2"/>
  <c r="AE19" i="2"/>
  <c r="AE18" i="2"/>
  <c r="AE17" i="2"/>
  <c r="AB22" i="2"/>
  <c r="AB21" i="2"/>
  <c r="AB20" i="2"/>
  <c r="AB19" i="2"/>
  <c r="AB18" i="2"/>
  <c r="AB17" i="2"/>
  <c r="AB10" i="2"/>
  <c r="AJ6" i="2"/>
  <c r="AJ7" i="2" s="1"/>
  <c r="J10" i="2"/>
  <c r="J17" i="2"/>
  <c r="J18" i="2"/>
  <c r="J19" i="2"/>
  <c r="J20" i="2"/>
  <c r="J21" i="2"/>
  <c r="J6" i="3"/>
  <c r="L6" i="3" s="1"/>
  <c r="J46" i="3"/>
  <c r="L46" i="3" s="1"/>
  <c r="H22" i="2" l="1"/>
  <c r="K22" i="2" s="1"/>
  <c r="N22" i="2" s="1"/>
  <c r="Q22" i="2" s="1"/>
  <c r="T22" i="2" s="1"/>
  <c r="W22" i="2" s="1"/>
  <c r="Z22" i="2" s="1"/>
  <c r="AC22" i="2" s="1"/>
  <c r="AF22" i="2" s="1"/>
  <c r="AI22" i="2" s="1"/>
  <c r="H18" i="2"/>
  <c r="K18" i="2" s="1"/>
  <c r="N18" i="2" s="1"/>
  <c r="Q18" i="2" s="1"/>
  <c r="T18" i="2" s="1"/>
  <c r="W18" i="2" s="1"/>
  <c r="Z18" i="2" s="1"/>
  <c r="G11" i="7"/>
  <c r="M11" i="7" s="1"/>
  <c r="G42" i="6"/>
  <c r="I5" i="7"/>
  <c r="AC18" i="2"/>
  <c r="AF18" i="2" s="1"/>
  <c r="AI18" i="2" s="1"/>
  <c r="AK17" i="2"/>
  <c r="AL17" i="2" s="1"/>
  <c r="AK21" i="2"/>
  <c r="AL21" i="2" s="1"/>
  <c r="H17" i="2"/>
  <c r="K17" i="2" s="1"/>
  <c r="N17" i="2" s="1"/>
  <c r="Q17" i="2" s="1"/>
  <c r="T17" i="2" s="1"/>
  <c r="W17" i="2" s="1"/>
  <c r="Z17" i="2" s="1"/>
  <c r="AC17" i="2" s="1"/>
  <c r="AF17" i="2" s="1"/>
  <c r="AI17" i="2" s="1"/>
  <c r="H21" i="2"/>
  <c r="K21" i="2" s="1"/>
  <c r="N21" i="2" s="1"/>
  <c r="Q21" i="2" s="1"/>
  <c r="T21" i="2" s="1"/>
  <c r="W21" i="2" s="1"/>
  <c r="Z21" i="2" s="1"/>
  <c r="AC21" i="2" s="1"/>
  <c r="AF21" i="2" s="1"/>
  <c r="AI21" i="2" s="1"/>
  <c r="AK10" i="2"/>
  <c r="AL10" i="2" s="1"/>
  <c r="AK20" i="2"/>
  <c r="AL20" i="2" s="1"/>
  <c r="K10" i="2"/>
  <c r="N10" i="2" s="1"/>
  <c r="Q10" i="2" s="1"/>
  <c r="T10" i="2" s="1"/>
  <c r="W10" i="2" s="1"/>
  <c r="Z10" i="2" s="1"/>
  <c r="AC10" i="2" s="1"/>
  <c r="AF10" i="2" s="1"/>
  <c r="AI10" i="2" s="1"/>
  <c r="K20" i="2"/>
  <c r="N20" i="2" s="1"/>
  <c r="Q20" i="2" s="1"/>
  <c r="T20" i="2" s="1"/>
  <c r="W20" i="2" s="1"/>
  <c r="Z20" i="2" s="1"/>
  <c r="AC20" i="2" s="1"/>
  <c r="AF20" i="2" s="1"/>
  <c r="AI20" i="2" s="1"/>
  <c r="AK19" i="2"/>
  <c r="AL19" i="2" s="1"/>
  <c r="H19" i="2"/>
  <c r="K19" i="2" s="1"/>
  <c r="N19" i="2" s="1"/>
  <c r="Q19" i="2" s="1"/>
  <c r="T19" i="2" s="1"/>
  <c r="W19" i="2" s="1"/>
  <c r="Z19" i="2" s="1"/>
  <c r="AC19" i="2" s="1"/>
  <c r="AF19" i="2" s="1"/>
  <c r="AI19" i="2" s="1"/>
  <c r="AK18" i="2"/>
  <c r="AL18" i="2" s="1"/>
  <c r="AK22" i="2"/>
  <c r="AL22" i="2" s="1"/>
</calcChain>
</file>

<file path=xl/sharedStrings.xml><?xml version="1.0" encoding="utf-8"?>
<sst xmlns="http://schemas.openxmlformats.org/spreadsheetml/2006/main" count="346" uniqueCount="153">
  <si>
    <t>महिना व वर्ष</t>
  </si>
  <si>
    <t>पटसंख्या</t>
  </si>
  <si>
    <t>ताटांची संख्या</t>
  </si>
  <si>
    <t>कामाचे दिवस</t>
  </si>
  <si>
    <t>एप्रिल 17</t>
  </si>
  <si>
    <t>जून 17</t>
  </si>
  <si>
    <t>जुलै 17</t>
  </si>
  <si>
    <t>ऑगस्ट 17</t>
  </si>
  <si>
    <t>सप्टेंबर 17</t>
  </si>
  <si>
    <t>ऑक्टोंबर 17</t>
  </si>
  <si>
    <t>नोव्हेंबर 17</t>
  </si>
  <si>
    <t>डिसेंबर 17</t>
  </si>
  <si>
    <t>एकूण</t>
  </si>
  <si>
    <t>शालेय पोषण आहार योजना (सन 2017-18)</t>
  </si>
  <si>
    <t>पंचायत समिती मुरबाड. जि. ठाणे</t>
  </si>
  <si>
    <t>तांदूळ व धान्यादी मालाचे उपयोगिता प्रमाणपत्र (माहे एप्रिल 2017 ते मार्च 2018)</t>
  </si>
  <si>
    <t>जानेवारी 18</t>
  </si>
  <si>
    <t>फेब्रुवारी 18</t>
  </si>
  <si>
    <t>मार्च 18</t>
  </si>
  <si>
    <t>वस्तूचे नांव</t>
  </si>
  <si>
    <t>मागील शिल्लक मार्च 2017</t>
  </si>
  <si>
    <t>प्राप्त</t>
  </si>
  <si>
    <t>शिजविलेला</t>
  </si>
  <si>
    <t>शिल्लक</t>
  </si>
  <si>
    <t>तांदूळ</t>
  </si>
  <si>
    <t>मुगडाळ</t>
  </si>
  <si>
    <t>तुरडाळ</t>
  </si>
  <si>
    <t>मसूरडाळ</t>
  </si>
  <si>
    <t>मटकी</t>
  </si>
  <si>
    <t>हरभरा</t>
  </si>
  <si>
    <t>वाटाणा</t>
  </si>
  <si>
    <t>जिरे</t>
  </si>
  <si>
    <t>मोहरी</t>
  </si>
  <si>
    <t>हळद</t>
  </si>
  <si>
    <t>तिखट</t>
  </si>
  <si>
    <t>तेल</t>
  </si>
  <si>
    <t>मीठ</t>
  </si>
  <si>
    <t>मसाला</t>
  </si>
  <si>
    <t>जि. प. प्राथमिक शाळा देवराळवाडी</t>
  </si>
  <si>
    <t xml:space="preserve">केंद्र : देवगांव </t>
  </si>
  <si>
    <t>इ. 1 ते 5</t>
  </si>
  <si>
    <t>अ.क्र.</t>
  </si>
  <si>
    <t>शिल्लक वस्तू (5-6) (कि.ग्रॅ.)</t>
  </si>
  <si>
    <t>पुढील महिन्यासाठी मागणी (कि.ग्रॅ.)</t>
  </si>
  <si>
    <t>शेरा</t>
  </si>
  <si>
    <t>शाळेचे नांव</t>
  </si>
  <si>
    <t>प्रत्यक्ष कामाचे दिवस</t>
  </si>
  <si>
    <t>IFSC CODE</t>
  </si>
  <si>
    <t>खाते क्रमांक</t>
  </si>
  <si>
    <t>लाभार्थी संख्या</t>
  </si>
  <si>
    <t>अनुज्ञेय रक्कम</t>
  </si>
  <si>
    <t>केवळ इंधन भाजीपाला</t>
  </si>
  <si>
    <t>इंधन भाजीपाला + धान्यादी माल</t>
  </si>
  <si>
    <t>इंधन भाजीपाला खर्च रु.1.51/-</t>
  </si>
  <si>
    <t>इंधन भाजीपाला + धान्यादी माल खर्च रु. 2.62/-</t>
  </si>
  <si>
    <t>एकूण देय रक्कम (9+10)</t>
  </si>
  <si>
    <t>शेरा (धान्यादी माल खरेदी दिनांक)</t>
  </si>
  <si>
    <t>शालेय पोषण आहार योजना, पंचायत समिती मुरबाड</t>
  </si>
  <si>
    <t>प्रपत्र ब गोषवारा</t>
  </si>
  <si>
    <t>टिप : सदर नमूना इ. 1 ली ते 5 वी व इ. 6 वी ते 8 वी साठी सारखाच राहील केवळ दर बदल होतील दर दि. 28/08/2017 च्या पत्राप्रमाणे आकारावेत.</t>
  </si>
  <si>
    <t>माहे :</t>
  </si>
  <si>
    <t>जुलै 2017</t>
  </si>
  <si>
    <t>जून 2017</t>
  </si>
  <si>
    <t>ऑगस्ट 2017</t>
  </si>
  <si>
    <t>सप्टेंबर 2017</t>
  </si>
  <si>
    <t>दि. 01/09/2017</t>
  </si>
  <si>
    <t>दि. 15/06/2017</t>
  </si>
  <si>
    <t>दि. 01/07/2017</t>
  </si>
  <si>
    <t>दि. 01/08/2017</t>
  </si>
  <si>
    <t>MAHB0000703</t>
  </si>
  <si>
    <t>बँकेचे नांव</t>
  </si>
  <si>
    <t>बँक ऑफ महाराष्ट्र, मुरबाड</t>
  </si>
  <si>
    <t>नोव्हेंबर 2017</t>
  </si>
  <si>
    <t>ऑक्टोंबर 2017</t>
  </si>
  <si>
    <t>दि. 01/11/2017</t>
  </si>
  <si>
    <t>स्वयंपाकी मदतनीस नांव</t>
  </si>
  <si>
    <t>शाखेचे नांव</t>
  </si>
  <si>
    <t>दि ठाणे जिल्हा मध्यवर्ती सहकारी बँक लि.</t>
  </si>
  <si>
    <t>मुरबाड</t>
  </si>
  <si>
    <t>मानधन रक्कम रुपये</t>
  </si>
  <si>
    <t>02900300044984</t>
  </si>
  <si>
    <t>02900300052828</t>
  </si>
  <si>
    <t>TDCB0000029</t>
  </si>
  <si>
    <t>स्वयंपाकी व मदतनीस मानधन मागणी तक्ता</t>
  </si>
  <si>
    <t>गुलाब देवराम निरगुडा (स्वयंपाकी)</t>
  </si>
  <si>
    <t>वनिता देवराम निरगुडा (मदतनीस)</t>
  </si>
  <si>
    <t>डिसेंबर 2017</t>
  </si>
  <si>
    <t>शाळेचे नांव :</t>
  </si>
  <si>
    <t>महिना :</t>
  </si>
  <si>
    <t>दिनांक</t>
  </si>
  <si>
    <t>वार</t>
  </si>
  <si>
    <t>वार कोड</t>
  </si>
  <si>
    <t>आजचा आहार</t>
  </si>
  <si>
    <t>लाभार्थी ↓</t>
  </si>
  <si>
    <t>मसाल्याचे पदार्थ (ग्रॅममध्ये)</t>
  </si>
  <si>
    <t>सोयाबीन तेल</t>
  </si>
  <si>
    <t>इंधन खर्च</t>
  </si>
  <si>
    <t>मिरची पावडर</t>
  </si>
  <si>
    <t>प्रमाण</t>
  </si>
  <si>
    <t>मागील शिल्लक धान्य/किराणा :-</t>
  </si>
  <si>
    <t>प्राप्त धान्य/किराणा :-</t>
  </si>
  <si>
    <t>एकूण प्राप्त धान्य/किराणा :-</t>
  </si>
  <si>
    <t>महिन्यातील ताटांची संख्या</t>
  </si>
  <si>
    <t>शालेय कामकाजाचे दिवस</t>
  </si>
  <si>
    <t>पट</t>
  </si>
  <si>
    <t>सचिव</t>
  </si>
  <si>
    <t>अध्यक्ष</t>
  </si>
  <si>
    <t>शाळा व्यवस्थापन समिती</t>
  </si>
  <si>
    <t>शिल्लक धान्य/किराणा :-</t>
  </si>
  <si>
    <t>एकूण वापरलेले धान्य/किराणा :-</t>
  </si>
  <si>
    <t>शालेय पोषण आहार सन 2018-19 इ. 1 ली ते 5 वी</t>
  </si>
  <si>
    <t>सोमवार</t>
  </si>
  <si>
    <t>मंगळवार</t>
  </si>
  <si>
    <t>बुधवार</t>
  </si>
  <si>
    <t>गुरुवार</t>
  </si>
  <si>
    <t>शुक्रवार</t>
  </si>
  <si>
    <t>शनिवार</t>
  </si>
  <si>
    <t>वरणभात</t>
  </si>
  <si>
    <t>उसळभात</t>
  </si>
  <si>
    <t>खिचडी</t>
  </si>
  <si>
    <t>आमटीभात</t>
  </si>
  <si>
    <t>शालेय पोषण आहार योजना - प्रपत्र ब (इ. 1 ते 5)</t>
  </si>
  <si>
    <t>शाळेने केंद्रप्रमुखांना दरमहा 1 तारखेपर्यंत द्यायचा अहवाल (2 प्रतीत)</t>
  </si>
  <si>
    <t>महिन्यातील एकूण उपस्थित विद्यार्थी</t>
  </si>
  <si>
    <t>तांदूळ प्राप्त दिनांक व पावती क्रमांक</t>
  </si>
  <si>
    <t>एकूण कार्यदिवस</t>
  </si>
  <si>
    <t>अन्न शिजवून दिलेले दिवस</t>
  </si>
  <si>
    <t>मागील शिल्लक (कि.ग्रॅ.)</t>
  </si>
  <si>
    <t>चालू महिन्यात प्राप्त (कि.ग्रॅ.)</t>
  </si>
  <si>
    <t>एकूण प्राप्त (3+4) (कि.ग्रॅ.)</t>
  </si>
  <si>
    <t>अन्न शिजवण्यासाठी वापलेल्या वस्तू (कि.ग्रॅ.)</t>
  </si>
  <si>
    <t>मूगडाळ</t>
  </si>
  <si>
    <t>तूरडाळ</t>
  </si>
  <si>
    <t>* मागणी नोंदवताना शाळेकडे वीस दिवसांचा साठा शिल्लक राहिल याची दक्षता घेऊन मागणी नोंदवावी. आवश्यकतेपेक्षा जास्त साठा करुन धान्य खराब होणार नाही याची दक्षता घ्यावी.</t>
  </si>
  <si>
    <t>प्रमाणित करण्यात येते की, वर नमूद केलेले माहिती दैनंदिन नोंदवहीवरुन घेतलेली आहे. ती तपासली आहे व बरोबर आहे.</t>
  </si>
  <si>
    <t>दिनांक :</t>
  </si>
  <si>
    <t>मुख्याध्यापक/सचिव</t>
  </si>
  <si>
    <t>केंद्रप्रमुख</t>
  </si>
  <si>
    <t xml:space="preserve"> इ. 1 ते 5</t>
  </si>
  <si>
    <t>वाटाणा/ हरभरा</t>
  </si>
  <si>
    <t>तालुका : कर्जत</t>
  </si>
  <si>
    <t>जिल्हा : रायगड</t>
  </si>
  <si>
    <t>मसुरडाळ</t>
  </si>
  <si>
    <t>केंद्र : खांडस</t>
  </si>
  <si>
    <t>रा .जि. प.उच्च प्राथमिक शाळा मेंगाळवाडी</t>
  </si>
  <si>
    <t>नोव्हेंबर २०१९</t>
  </si>
  <si>
    <t>शाळेचे नांव : रा.जि.प. प्राथमिक शाळा मेंगाळवाडी, केंद्र :खांडस. ता.कर्जत जि. रायगड</t>
  </si>
  <si>
    <t>Desember २०१९</t>
  </si>
  <si>
    <t>1) महिन्यातील एकूण ताटांची संख्या : 190</t>
  </si>
  <si>
    <t>2) इंधन व भाजीपाल्यासाठी खर्च केलेले अनुदान रु. =305/- (ताटांची संख्या  190  X  दर 1.61/-) (शासनस्तरावरुन निश्चित केल्यानुसार)</t>
  </si>
  <si>
    <t>शालेय व्यवस्थापन समिती मेंगाळवाडी</t>
  </si>
  <si>
    <t>3) स्वयंपाकी तथा मदतनीस मानधन रु.1500 /- (रु. 1500 X नेमलेले स्वयंपाकी तथा मदतनीस संख्या)</t>
  </si>
  <si>
    <t>कांदा लसून  मसाला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</si>
</sst>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_);[Red]\(0.00\)"/>
    <numFmt numFmtId="166" formatCode="[$-4000439]0"/>
  </numFmts>
  <fonts count="32">
    <font>
      <sz val="16"/>
      <name val="DVB-TTDhruv"/>
    </font>
    <font>
      <sz val="11"/>
      <color theme="1"/>
      <name val="Calibri"/>
      <family val="2"/>
      <scheme val="minor"/>
    </font>
    <font>
      <sz val="12"/>
      <color rgb="FF000000"/>
      <name val="DVOT-Dhruv"/>
    </font>
    <font>
      <b/>
      <sz val="12"/>
      <color rgb="FF000000"/>
      <name val="DVOT-Dhruv"/>
    </font>
    <font>
      <b/>
      <sz val="11"/>
      <color rgb="FF000000"/>
      <name val="DVOT-Surekh"/>
    </font>
    <font>
      <sz val="16"/>
      <color rgb="FF000000"/>
      <name val="DVOT-Surekh"/>
    </font>
    <font>
      <b/>
      <sz val="18"/>
      <color rgb="FF000000"/>
      <name val="DVOT-Surekh"/>
    </font>
    <font>
      <b/>
      <sz val="16"/>
      <color rgb="FF000000"/>
      <name val="DVOT-Surekh"/>
    </font>
    <font>
      <b/>
      <sz val="14"/>
      <color rgb="FF000000"/>
      <name val="DVOT-Surekh"/>
    </font>
    <font>
      <b/>
      <sz val="12"/>
      <color rgb="FF000000"/>
      <name val="DVOT-Surekh"/>
    </font>
    <font>
      <sz val="12"/>
      <color rgb="FF000000"/>
      <name val="DVOT-Surekh"/>
    </font>
    <font>
      <b/>
      <sz val="14"/>
      <color rgb="FF000000"/>
      <name val="DVOT-Dhruv"/>
    </font>
    <font>
      <b/>
      <sz val="18"/>
      <color rgb="FF000000"/>
      <name val="DVOT-Dhruv"/>
    </font>
    <font>
      <sz val="16"/>
      <color rgb="FF000000"/>
      <name val="DVOT-Dhruv"/>
    </font>
    <font>
      <sz val="11"/>
      <color rgb="FF000000"/>
      <name val="Calibri"/>
      <family val="2"/>
    </font>
    <font>
      <b/>
      <sz val="18"/>
      <name val="DVOT-Surekh"/>
    </font>
    <font>
      <sz val="12"/>
      <color theme="1"/>
      <name val="DVOT-Surekh"/>
    </font>
    <font>
      <b/>
      <sz val="14"/>
      <name val="DVOT-Surekh"/>
    </font>
    <font>
      <sz val="14"/>
      <color theme="1"/>
      <name val="DVOT-Surekh"/>
    </font>
    <font>
      <sz val="12"/>
      <name val="DVOT-Surekh"/>
    </font>
    <font>
      <b/>
      <sz val="12"/>
      <color indexed="12"/>
      <name val="DVOT-Surekh"/>
    </font>
    <font>
      <b/>
      <sz val="12"/>
      <color theme="1"/>
      <name val="DVOT-Surekh"/>
    </font>
    <font>
      <b/>
      <sz val="12"/>
      <name val="DVOT-Surekh"/>
    </font>
    <font>
      <b/>
      <sz val="12"/>
      <color indexed="10"/>
      <name val="DVOT-Surekh"/>
    </font>
    <font>
      <b/>
      <sz val="12"/>
      <color indexed="61"/>
      <name val="DVOT-Surekh"/>
    </font>
    <font>
      <sz val="12"/>
      <color indexed="10"/>
      <name val="DVOT-Surekh"/>
    </font>
    <font>
      <b/>
      <sz val="12"/>
      <color indexed="18"/>
      <name val="DVOT-Surekh"/>
    </font>
    <font>
      <b/>
      <sz val="12"/>
      <color indexed="8"/>
      <name val="DVOT-Surekh"/>
    </font>
    <font>
      <sz val="12"/>
      <color indexed="8"/>
      <name val="DVOT-Surekh"/>
    </font>
    <font>
      <b/>
      <sz val="16"/>
      <color theme="1"/>
      <name val="DVOT-Surekh"/>
    </font>
    <font>
      <b/>
      <sz val="14"/>
      <color theme="1"/>
      <name val="DVOT-Surekh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1D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4" fillId="0" borderId="0">
      <protection locked="0"/>
    </xf>
    <xf numFmtId="0" fontId="1" fillId="0" borderId="0"/>
  </cellStyleXfs>
  <cellXfs count="148">
    <xf numFmtId="0" fontId="0" fillId="0" borderId="0" xfId="0">
      <alignment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10" fillId="0" borderId="1" xfId="1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6" fillId="0" borderId="0" xfId="2" applyFont="1" applyFill="1"/>
    <xf numFmtId="0" fontId="17" fillId="0" borderId="0" xfId="2" applyFont="1" applyFill="1" applyBorder="1" applyAlignment="1">
      <alignment vertical="center"/>
    </xf>
    <xf numFmtId="0" fontId="18" fillId="0" borderId="0" xfId="2" applyFont="1" applyFill="1"/>
    <xf numFmtId="164" fontId="19" fillId="0" borderId="1" xfId="2" applyNumberFormat="1" applyFont="1" applyFill="1" applyBorder="1" applyAlignment="1">
      <alignment horizontal="center" vertical="center" wrapText="1"/>
    </xf>
    <xf numFmtId="0" fontId="21" fillId="0" borderId="1" xfId="2" applyFont="1" applyFill="1" applyBorder="1" applyAlignment="1">
      <alignment horizontal="center"/>
    </xf>
    <xf numFmtId="0" fontId="21" fillId="0" borderId="0" xfId="2" applyFont="1" applyFill="1"/>
    <xf numFmtId="164" fontId="24" fillId="0" borderId="1" xfId="2" applyNumberFormat="1" applyFont="1" applyFill="1" applyBorder="1" applyAlignment="1">
      <alignment vertical="center" shrinkToFit="1"/>
    </xf>
    <xf numFmtId="164" fontId="22" fillId="0" borderId="1" xfId="2" applyNumberFormat="1" applyFont="1" applyFill="1" applyBorder="1" applyAlignment="1">
      <alignment horizontal="right" vertical="center" shrinkToFit="1"/>
    </xf>
    <xf numFmtId="0" fontId="16" fillId="0" borderId="1" xfId="2" applyFont="1" applyFill="1" applyBorder="1" applyAlignment="1">
      <alignment horizontal="center"/>
    </xf>
    <xf numFmtId="0" fontId="19" fillId="0" borderId="1" xfId="2" applyFont="1" applyFill="1" applyBorder="1" applyAlignment="1">
      <alignment horizontal="center" vertical="center" shrinkToFit="1"/>
    </xf>
    <xf numFmtId="0" fontId="20" fillId="0" borderId="1" xfId="2" applyFont="1" applyFill="1" applyBorder="1" applyAlignment="1">
      <alignment horizontal="center" vertical="center"/>
    </xf>
    <xf numFmtId="164" fontId="19" fillId="0" borderId="1" xfId="2" applyNumberFormat="1" applyFont="1" applyFill="1" applyBorder="1" applyAlignment="1">
      <alignment vertical="center" shrinkToFit="1"/>
    </xf>
    <xf numFmtId="1" fontId="19" fillId="0" borderId="1" xfId="2" applyNumberFormat="1" applyFont="1" applyFill="1" applyBorder="1" applyAlignment="1">
      <alignment vertical="center" shrinkToFit="1"/>
    </xf>
    <xf numFmtId="164" fontId="26" fillId="0" borderId="1" xfId="2" applyNumberFormat="1" applyFont="1" applyFill="1" applyBorder="1" applyAlignment="1">
      <alignment vertical="center" shrinkToFit="1"/>
    </xf>
    <xf numFmtId="165" fontId="26" fillId="0" borderId="1" xfId="2" applyNumberFormat="1" applyFont="1" applyFill="1" applyBorder="1" applyAlignment="1">
      <alignment vertical="center" shrinkToFit="1"/>
    </xf>
    <xf numFmtId="1" fontId="24" fillId="0" borderId="1" xfId="2" applyNumberFormat="1" applyFont="1" applyFill="1" applyBorder="1" applyAlignment="1">
      <alignment vertical="center" shrinkToFit="1"/>
    </xf>
    <xf numFmtId="0" fontId="16" fillId="0" borderId="0" xfId="2" applyFont="1" applyFill="1" applyAlignment="1">
      <alignment horizontal="center"/>
    </xf>
    <xf numFmtId="0" fontId="27" fillId="0" borderId="0" xfId="2" applyFont="1" applyFill="1" applyAlignment="1">
      <alignment horizontal="center"/>
    </xf>
    <xf numFmtId="0" fontId="22" fillId="0" borderId="10" xfId="2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vertical="center"/>
    </xf>
    <xf numFmtId="0" fontId="23" fillId="0" borderId="0" xfId="2" applyFont="1" applyFill="1" applyBorder="1" applyAlignment="1">
      <alignment vertical="center"/>
    </xf>
    <xf numFmtId="0" fontId="27" fillId="0" borderId="0" xfId="2" applyFont="1" applyFill="1"/>
    <xf numFmtId="0" fontId="25" fillId="0" borderId="0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vertical="center"/>
    </xf>
    <xf numFmtId="0" fontId="25" fillId="0" borderId="0" xfId="2" applyFont="1" applyFill="1" applyBorder="1" applyAlignment="1">
      <alignment vertical="center"/>
    </xf>
    <xf numFmtId="0" fontId="28" fillId="0" borderId="0" xfId="2" applyFont="1" applyFill="1"/>
    <xf numFmtId="0" fontId="21" fillId="0" borderId="10" xfId="2" applyFont="1" applyFill="1" applyBorder="1" applyAlignment="1">
      <alignment horizontal="center" vertical="center"/>
    </xf>
    <xf numFmtId="0" fontId="19" fillId="0" borderId="1" xfId="2" applyFont="1" applyFill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/>
    </xf>
    <xf numFmtId="0" fontId="19" fillId="0" borderId="1" xfId="2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horizontal="right"/>
    </xf>
    <xf numFmtId="2" fontId="19" fillId="0" borderId="1" xfId="2" applyNumberFormat="1" applyFont="1" applyFill="1" applyBorder="1" applyAlignment="1">
      <alignment horizontal="right" vertical="center" shrinkToFit="1"/>
    </xf>
    <xf numFmtId="0" fontId="16" fillId="0" borderId="0" xfId="2" applyFont="1" applyFill="1" applyAlignment="1">
      <alignment horizontal="right"/>
    </xf>
    <xf numFmtId="0" fontId="28" fillId="0" borderId="0" xfId="2" applyFont="1" applyFill="1" applyAlignment="1">
      <alignment horizontal="right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1" fillId="0" borderId="1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14" fontId="21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164" fontId="16" fillId="0" borderId="1" xfId="0" applyNumberFormat="1" applyFont="1" applyBorder="1" applyAlignment="1">
      <alignment horizontal="center"/>
    </xf>
    <xf numFmtId="0" fontId="16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/>
    <xf numFmtId="164" fontId="16" fillId="0" borderId="0" xfId="0" applyNumberFormat="1" applyFont="1" applyAlignment="1"/>
    <xf numFmtId="0" fontId="21" fillId="0" borderId="0" xfId="0" applyFont="1" applyBorder="1" applyAlignment="1">
      <alignment horizontal="center"/>
    </xf>
    <xf numFmtId="0" fontId="16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0" fontId="21" fillId="4" borderId="1" xfId="0" applyFont="1" applyFill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0" fontId="19" fillId="0" borderId="1" xfId="2" applyFont="1" applyFill="1" applyBorder="1" applyAlignment="1">
      <alignment horizontal="center" vertical="center" wrapText="1"/>
    </xf>
    <xf numFmtId="0" fontId="19" fillId="0" borderId="1" xfId="2" applyFont="1" applyFill="1" applyBorder="1" applyAlignment="1">
      <alignment horizontal="center" vertical="center"/>
    </xf>
    <xf numFmtId="166" fontId="19" fillId="0" borderId="1" xfId="2" applyNumberFormat="1" applyFont="1" applyFill="1" applyBorder="1" applyAlignment="1">
      <alignment horizontal="center" vertical="center"/>
    </xf>
    <xf numFmtId="166" fontId="31" fillId="0" borderId="1" xfId="2" applyNumberFormat="1" applyFont="1" applyFill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164" fontId="21" fillId="0" borderId="1" xfId="0" applyNumberFormat="1" applyFont="1" applyBorder="1" applyAlignment="1">
      <alignment horizontal="center"/>
    </xf>
    <xf numFmtId="164" fontId="22" fillId="0" borderId="1" xfId="2" applyNumberFormat="1" applyFont="1" applyFill="1" applyBorder="1" applyAlignment="1">
      <alignment horizontal="center" shrinkToFit="1"/>
    </xf>
    <xf numFmtId="0" fontId="21" fillId="0" borderId="0" xfId="0" applyFont="1" applyAlignment="1">
      <alignment horizontal="center" vertical="center"/>
    </xf>
    <xf numFmtId="164" fontId="19" fillId="0" borderId="1" xfId="2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9" fillId="0" borderId="1" xfId="2" applyFont="1" applyFill="1" applyBorder="1" applyAlignment="1">
      <alignment horizontal="center" vertical="center" wrapText="1"/>
    </xf>
    <xf numFmtId="0" fontId="19" fillId="0" borderId="1" xfId="2" applyFont="1" applyFill="1" applyBorder="1" applyAlignment="1">
      <alignment horizontal="center" vertical="center"/>
    </xf>
    <xf numFmtId="0" fontId="28" fillId="0" borderId="0" xfId="2" applyFont="1" applyFill="1" applyAlignment="1">
      <alignment horizontal="center"/>
    </xf>
    <xf numFmtId="0" fontId="19" fillId="0" borderId="2" xfId="2" applyFont="1" applyFill="1" applyBorder="1" applyAlignment="1">
      <alignment horizontal="center" vertical="center" wrapText="1"/>
    </xf>
    <xf numFmtId="0" fontId="19" fillId="0" borderId="3" xfId="2" applyFont="1" applyFill="1" applyBorder="1" applyAlignment="1">
      <alignment horizontal="center" vertical="center" wrapText="1"/>
    </xf>
    <xf numFmtId="0" fontId="19" fillId="0" borderId="4" xfId="2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right" vertical="center"/>
    </xf>
    <xf numFmtId="2" fontId="26" fillId="0" borderId="1" xfId="2" applyNumberFormat="1" applyFont="1" applyFill="1" applyBorder="1" applyAlignment="1">
      <alignment horizontal="right" vertical="center" shrinkToFit="1"/>
    </xf>
    <xf numFmtId="0" fontId="23" fillId="0" borderId="0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/>
    </xf>
    <xf numFmtId="0" fontId="22" fillId="0" borderId="2" xfId="2" applyFont="1" applyFill="1" applyBorder="1" applyAlignment="1">
      <alignment horizontal="center" vertical="center"/>
    </xf>
    <xf numFmtId="0" fontId="22" fillId="0" borderId="4" xfId="2" applyFont="1" applyFill="1" applyBorder="1" applyAlignment="1">
      <alignment horizontal="center" vertical="center"/>
    </xf>
    <xf numFmtId="166" fontId="22" fillId="0" borderId="2" xfId="2" applyNumberFormat="1" applyFont="1" applyFill="1" applyBorder="1" applyAlignment="1">
      <alignment horizontal="center" vertical="center"/>
    </xf>
    <xf numFmtId="166" fontId="22" fillId="0" borderId="4" xfId="2" applyNumberFormat="1" applyFont="1" applyFill="1" applyBorder="1" applyAlignment="1">
      <alignment horizontal="center" vertical="center"/>
    </xf>
    <xf numFmtId="0" fontId="22" fillId="0" borderId="1" xfId="2" applyFont="1" applyFill="1" applyBorder="1" applyAlignment="1">
      <alignment horizontal="center" vertical="center" shrinkToFit="1"/>
    </xf>
    <xf numFmtId="0" fontId="23" fillId="0" borderId="6" xfId="2" applyFont="1" applyFill="1" applyBorder="1" applyAlignment="1">
      <alignment horizontal="right" vertical="center"/>
    </xf>
    <xf numFmtId="0" fontId="23" fillId="0" borderId="7" xfId="2" applyFont="1" applyFill="1" applyBorder="1" applyAlignment="1">
      <alignment horizontal="right" vertical="center"/>
    </xf>
    <xf numFmtId="0" fontId="23" fillId="0" borderId="8" xfId="2" applyFont="1" applyFill="1" applyBorder="1" applyAlignment="1">
      <alignment horizontal="right" vertical="center"/>
    </xf>
    <xf numFmtId="0" fontId="22" fillId="0" borderId="1" xfId="2" applyFont="1" applyFill="1" applyBorder="1" applyAlignment="1">
      <alignment horizontal="right" vertical="center" shrinkToFit="1"/>
    </xf>
    <xf numFmtId="0" fontId="15" fillId="0" borderId="0" xfId="2" applyFont="1" applyFill="1" applyAlignment="1">
      <alignment horizontal="center" vertical="center"/>
    </xf>
    <xf numFmtId="0" fontId="17" fillId="0" borderId="5" xfId="2" applyFont="1" applyFill="1" applyBorder="1" applyAlignment="1">
      <alignment horizontal="left" vertical="center"/>
    </xf>
    <xf numFmtId="0" fontId="17" fillId="0" borderId="5" xfId="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Border="1" applyAlignment="1">
      <alignment horizontal="left" wrapText="1"/>
    </xf>
    <xf numFmtId="0" fontId="16" fillId="0" borderId="0" xfId="0" applyFont="1" applyAlignment="1">
      <alignment horizontal="left"/>
    </xf>
    <xf numFmtId="0" fontId="16" fillId="0" borderId="12" xfId="0" applyFont="1" applyBorder="1" applyAlignment="1">
      <alignment horizontal="left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">
    <dxf>
      <font>
        <b/>
        <i val="0"/>
        <color indexed="10"/>
      </font>
      <fill>
        <patternFill>
          <bgColor indexed="1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3"/>
  <sheetViews>
    <sheetView zoomScale="85" workbookViewId="0">
      <pane xSplit="1" ySplit="9" topLeftCell="O31" activePane="bottomRight" state="frozen"/>
      <selection pane="topRight"/>
      <selection pane="bottomLeft"/>
      <selection pane="bottomRight" activeCell="A3" sqref="A3:AL3"/>
    </sheetView>
  </sheetViews>
  <sheetFormatPr defaultColWidth="9" defaultRowHeight="20.25"/>
  <cols>
    <col min="1" max="1" width="8.83203125" style="3" customWidth="1"/>
    <col min="2" max="2" width="6.08203125" style="3" customWidth="1"/>
    <col min="3" max="38" width="6.6640625" style="3" customWidth="1"/>
    <col min="39" max="256" width="8.83203125" style="3" customWidth="1"/>
  </cols>
  <sheetData>
    <row r="1" spans="1:38" s="4" customFormat="1" ht="32.25" customHeight="1">
      <c r="A1" s="97" t="s">
        <v>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</row>
    <row r="2" spans="1:38" s="4" customFormat="1" ht="32.25" customHeight="1">
      <c r="A2" s="98" t="s">
        <v>14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</row>
    <row r="3" spans="1:38" s="4" customFormat="1" ht="27.75" customHeight="1">
      <c r="A3" s="98" t="s">
        <v>15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</row>
    <row r="4" spans="1:38" s="5" customFormat="1" ht="27.75" customHeight="1">
      <c r="A4" s="105" t="s">
        <v>38</v>
      </c>
      <c r="B4" s="105"/>
      <c r="C4" s="105"/>
      <c r="D4" s="105"/>
      <c r="E4" s="105"/>
      <c r="F4" s="105"/>
      <c r="G4" s="105"/>
      <c r="H4" s="105"/>
      <c r="J4" s="105" t="s">
        <v>39</v>
      </c>
      <c r="K4" s="105"/>
      <c r="L4" s="105"/>
      <c r="M4" s="105"/>
      <c r="N4" s="105"/>
      <c r="O4" s="105"/>
      <c r="P4" s="105"/>
      <c r="Q4" s="105"/>
      <c r="AJ4" s="106" t="s">
        <v>40</v>
      </c>
      <c r="AK4" s="106"/>
      <c r="AL4" s="106"/>
    </row>
    <row r="5" spans="1:38" s="6" customFormat="1" ht="21.75" customHeight="1">
      <c r="A5" s="96" t="s">
        <v>0</v>
      </c>
      <c r="B5" s="96"/>
      <c r="C5" s="95" t="s">
        <v>4</v>
      </c>
      <c r="D5" s="95"/>
      <c r="E5" s="95"/>
      <c r="F5" s="95" t="s">
        <v>5</v>
      </c>
      <c r="G5" s="95"/>
      <c r="H5" s="95"/>
      <c r="I5" s="95" t="s">
        <v>6</v>
      </c>
      <c r="J5" s="95"/>
      <c r="K5" s="95"/>
      <c r="L5" s="95" t="s">
        <v>7</v>
      </c>
      <c r="M5" s="95"/>
      <c r="N5" s="95"/>
      <c r="O5" s="95" t="s">
        <v>8</v>
      </c>
      <c r="P5" s="95"/>
      <c r="Q5" s="95"/>
      <c r="R5" s="95" t="s">
        <v>9</v>
      </c>
      <c r="S5" s="95"/>
      <c r="T5" s="95"/>
      <c r="U5" s="95" t="s">
        <v>10</v>
      </c>
      <c r="V5" s="95"/>
      <c r="W5" s="95"/>
      <c r="X5" s="95" t="s">
        <v>11</v>
      </c>
      <c r="Y5" s="95"/>
      <c r="Z5" s="95"/>
      <c r="AA5" s="95" t="s">
        <v>16</v>
      </c>
      <c r="AB5" s="95"/>
      <c r="AC5" s="95"/>
      <c r="AD5" s="95" t="s">
        <v>17</v>
      </c>
      <c r="AE5" s="95"/>
      <c r="AF5" s="95"/>
      <c r="AG5" s="95" t="s">
        <v>18</v>
      </c>
      <c r="AH5" s="95"/>
      <c r="AI5" s="95"/>
      <c r="AJ5" s="102" t="s">
        <v>12</v>
      </c>
      <c r="AK5" s="103"/>
      <c r="AL5" s="104"/>
    </row>
    <row r="6" spans="1:38" s="6" customFormat="1" ht="15.75">
      <c r="A6" s="96" t="s">
        <v>1</v>
      </c>
      <c r="B6" s="96"/>
      <c r="C6" s="96">
        <f>C8*30</f>
        <v>330</v>
      </c>
      <c r="D6" s="96"/>
      <c r="E6" s="96"/>
      <c r="F6" s="99">
        <f>F8*31</f>
        <v>403</v>
      </c>
      <c r="G6" s="100"/>
      <c r="H6" s="101"/>
      <c r="I6" s="99">
        <v>786</v>
      </c>
      <c r="J6" s="100"/>
      <c r="K6" s="101"/>
      <c r="L6" s="96">
        <f t="shared" ref="L6" si="0">L8*32</f>
        <v>576</v>
      </c>
      <c r="M6" s="96"/>
      <c r="N6" s="96"/>
      <c r="O6" s="96">
        <f t="shared" ref="O6" si="1">O8*32</f>
        <v>672</v>
      </c>
      <c r="P6" s="96"/>
      <c r="Q6" s="96"/>
      <c r="R6" s="96">
        <f t="shared" ref="R6" si="2">R8*32</f>
        <v>352</v>
      </c>
      <c r="S6" s="96"/>
      <c r="T6" s="96"/>
      <c r="U6" s="96">
        <f t="shared" ref="U6" si="3">U8*32</f>
        <v>672</v>
      </c>
      <c r="V6" s="96"/>
      <c r="W6" s="96"/>
      <c r="X6" s="96">
        <f t="shared" ref="X6" si="4">X8*32</f>
        <v>640</v>
      </c>
      <c r="Y6" s="96"/>
      <c r="Z6" s="96"/>
      <c r="AA6" s="96">
        <f t="shared" ref="AA6" si="5">AA8*32</f>
        <v>800</v>
      </c>
      <c r="AB6" s="96"/>
      <c r="AC6" s="96"/>
      <c r="AD6" s="96">
        <f t="shared" ref="AD6" si="6">AD8*32</f>
        <v>0</v>
      </c>
      <c r="AE6" s="96"/>
      <c r="AF6" s="96"/>
      <c r="AG6" s="96">
        <f t="shared" ref="AG6" si="7">AG8*32</f>
        <v>0</v>
      </c>
      <c r="AH6" s="96"/>
      <c r="AI6" s="96"/>
      <c r="AJ6" s="99">
        <f>SUM(C6:AI6)</f>
        <v>5231</v>
      </c>
      <c r="AK6" s="100"/>
      <c r="AL6" s="101"/>
    </row>
    <row r="7" spans="1:38" s="6" customFormat="1" ht="21.75" customHeight="1">
      <c r="A7" s="96" t="s">
        <v>2</v>
      </c>
      <c r="B7" s="96"/>
      <c r="C7" s="99">
        <f>C6</f>
        <v>330</v>
      </c>
      <c r="D7" s="100"/>
      <c r="E7" s="101"/>
      <c r="F7" s="99">
        <f>F6</f>
        <v>403</v>
      </c>
      <c r="G7" s="100"/>
      <c r="H7" s="101"/>
      <c r="I7" s="99">
        <f>I6</f>
        <v>786</v>
      </c>
      <c r="J7" s="100"/>
      <c r="K7" s="101"/>
      <c r="L7" s="99">
        <f>L6</f>
        <v>576</v>
      </c>
      <c r="M7" s="100"/>
      <c r="N7" s="101"/>
      <c r="O7" s="99">
        <f>O6</f>
        <v>672</v>
      </c>
      <c r="P7" s="100"/>
      <c r="Q7" s="101"/>
      <c r="R7" s="99">
        <f>R6</f>
        <v>352</v>
      </c>
      <c r="S7" s="100"/>
      <c r="T7" s="101"/>
      <c r="U7" s="99">
        <f>U6</f>
        <v>672</v>
      </c>
      <c r="V7" s="100"/>
      <c r="W7" s="101"/>
      <c r="X7" s="99">
        <f>X6</f>
        <v>640</v>
      </c>
      <c r="Y7" s="100"/>
      <c r="Z7" s="101"/>
      <c r="AA7" s="99">
        <f>AA6</f>
        <v>800</v>
      </c>
      <c r="AB7" s="100"/>
      <c r="AC7" s="101"/>
      <c r="AD7" s="99">
        <f>AD6</f>
        <v>0</v>
      </c>
      <c r="AE7" s="100"/>
      <c r="AF7" s="101"/>
      <c r="AG7" s="99">
        <f>AG6</f>
        <v>0</v>
      </c>
      <c r="AH7" s="100"/>
      <c r="AI7" s="101"/>
      <c r="AJ7" s="99">
        <f>AJ6</f>
        <v>5231</v>
      </c>
      <c r="AK7" s="100"/>
      <c r="AL7" s="101"/>
    </row>
    <row r="8" spans="1:38" s="6" customFormat="1" ht="21.75" customHeight="1">
      <c r="A8" s="96" t="s">
        <v>3</v>
      </c>
      <c r="B8" s="96"/>
      <c r="C8" s="96">
        <v>11</v>
      </c>
      <c r="D8" s="96"/>
      <c r="E8" s="96"/>
      <c r="F8" s="96">
        <v>13</v>
      </c>
      <c r="G8" s="96"/>
      <c r="H8" s="96"/>
      <c r="I8" s="96">
        <v>25</v>
      </c>
      <c r="J8" s="96"/>
      <c r="K8" s="96"/>
      <c r="L8" s="96">
        <v>18</v>
      </c>
      <c r="M8" s="96"/>
      <c r="N8" s="96"/>
      <c r="O8" s="96">
        <v>21</v>
      </c>
      <c r="P8" s="96"/>
      <c r="Q8" s="96"/>
      <c r="R8" s="96">
        <v>11</v>
      </c>
      <c r="S8" s="96"/>
      <c r="T8" s="96"/>
      <c r="U8" s="96">
        <v>21</v>
      </c>
      <c r="V8" s="96"/>
      <c r="W8" s="96"/>
      <c r="X8" s="96">
        <v>20</v>
      </c>
      <c r="Y8" s="96"/>
      <c r="Z8" s="96"/>
      <c r="AA8" s="96">
        <v>25</v>
      </c>
      <c r="AB8" s="96"/>
      <c r="AC8" s="96"/>
      <c r="AD8" s="96"/>
      <c r="AE8" s="96"/>
      <c r="AF8" s="96"/>
      <c r="AG8" s="96"/>
      <c r="AH8" s="96"/>
      <c r="AI8" s="96"/>
      <c r="AJ8" s="99">
        <f>SUM(C8:AI8)</f>
        <v>165</v>
      </c>
      <c r="AK8" s="100"/>
      <c r="AL8" s="101"/>
    </row>
    <row r="9" spans="1:38" s="7" customFormat="1" ht="60">
      <c r="A9" s="8" t="s">
        <v>19</v>
      </c>
      <c r="B9" s="9" t="s">
        <v>20</v>
      </c>
      <c r="C9" s="8" t="s">
        <v>21</v>
      </c>
      <c r="D9" s="8" t="s">
        <v>22</v>
      </c>
      <c r="E9" s="9" t="s">
        <v>23</v>
      </c>
      <c r="F9" s="8" t="s">
        <v>21</v>
      </c>
      <c r="G9" s="8" t="s">
        <v>22</v>
      </c>
      <c r="H9" s="9" t="s">
        <v>23</v>
      </c>
      <c r="I9" s="8" t="s">
        <v>21</v>
      </c>
      <c r="J9" s="8" t="s">
        <v>22</v>
      </c>
      <c r="K9" s="9" t="s">
        <v>23</v>
      </c>
      <c r="L9" s="8" t="s">
        <v>21</v>
      </c>
      <c r="M9" s="8" t="s">
        <v>22</v>
      </c>
      <c r="N9" s="9" t="s">
        <v>23</v>
      </c>
      <c r="O9" s="8" t="s">
        <v>21</v>
      </c>
      <c r="P9" s="8" t="s">
        <v>22</v>
      </c>
      <c r="Q9" s="9" t="s">
        <v>23</v>
      </c>
      <c r="R9" s="8" t="s">
        <v>21</v>
      </c>
      <c r="S9" s="8" t="s">
        <v>22</v>
      </c>
      <c r="T9" s="9" t="s">
        <v>23</v>
      </c>
      <c r="U9" s="8" t="s">
        <v>21</v>
      </c>
      <c r="V9" s="8" t="s">
        <v>22</v>
      </c>
      <c r="W9" s="9" t="s">
        <v>23</v>
      </c>
      <c r="X9" s="8" t="s">
        <v>21</v>
      </c>
      <c r="Y9" s="8" t="s">
        <v>22</v>
      </c>
      <c r="Z9" s="9" t="s">
        <v>23</v>
      </c>
      <c r="AA9" s="8" t="s">
        <v>21</v>
      </c>
      <c r="AB9" s="8" t="s">
        <v>22</v>
      </c>
      <c r="AC9" s="9" t="s">
        <v>23</v>
      </c>
      <c r="AD9" s="8" t="s">
        <v>21</v>
      </c>
      <c r="AE9" s="8" t="s">
        <v>22</v>
      </c>
      <c r="AF9" s="9" t="s">
        <v>23</v>
      </c>
      <c r="AG9" s="8" t="s">
        <v>21</v>
      </c>
      <c r="AH9" s="8" t="s">
        <v>22</v>
      </c>
      <c r="AI9" s="9" t="s">
        <v>23</v>
      </c>
      <c r="AJ9" s="8" t="s">
        <v>21</v>
      </c>
      <c r="AK9" s="8" t="s">
        <v>22</v>
      </c>
      <c r="AL9" s="9" t="s">
        <v>23</v>
      </c>
    </row>
    <row r="10" spans="1:38" s="6" customFormat="1" ht="27.75" customHeight="1">
      <c r="A10" s="10" t="s">
        <v>24</v>
      </c>
      <c r="B10" s="1">
        <v>-35.1</v>
      </c>
      <c r="C10" s="2">
        <v>0</v>
      </c>
      <c r="D10" s="2">
        <f>C7*0.1</f>
        <v>33</v>
      </c>
      <c r="E10" s="1">
        <f>B10+C10-D10</f>
        <v>-68.099999999999994</v>
      </c>
      <c r="F10" s="2">
        <v>0</v>
      </c>
      <c r="G10" s="2">
        <f>F7*0.1</f>
        <v>40.300000000000004</v>
      </c>
      <c r="H10" s="1">
        <f>E10+F10-G10</f>
        <v>-108.4</v>
      </c>
      <c r="I10" s="2">
        <v>150</v>
      </c>
      <c r="J10" s="2">
        <f>I7*0.1</f>
        <v>78.600000000000009</v>
      </c>
      <c r="K10" s="1">
        <f>H10+I10-J10</f>
        <v>-37.000000000000014</v>
      </c>
      <c r="L10" s="2">
        <v>0</v>
      </c>
      <c r="M10" s="2">
        <f>L7*0.1</f>
        <v>57.6</v>
      </c>
      <c r="N10" s="1">
        <f>K10+L10-M10</f>
        <v>-94.600000000000023</v>
      </c>
      <c r="O10" s="2">
        <v>150</v>
      </c>
      <c r="P10" s="2">
        <f>O7*0.1</f>
        <v>67.2</v>
      </c>
      <c r="Q10" s="1">
        <f>N10+O10-P10</f>
        <v>-11.800000000000026</v>
      </c>
      <c r="R10" s="2">
        <v>0</v>
      </c>
      <c r="S10" s="2">
        <f>R7*0.1</f>
        <v>35.200000000000003</v>
      </c>
      <c r="T10" s="1">
        <f>Q10+R10-S10</f>
        <v>-47.000000000000028</v>
      </c>
      <c r="U10" s="2">
        <v>100</v>
      </c>
      <c r="V10" s="2">
        <f>U7*0.1</f>
        <v>67.2</v>
      </c>
      <c r="W10" s="1">
        <f>T10+U10-V10</f>
        <v>-14.200000000000031</v>
      </c>
      <c r="X10" s="11">
        <v>147</v>
      </c>
      <c r="Y10" s="2">
        <v>64</v>
      </c>
      <c r="Z10" s="1">
        <f>W10+X10-Y10</f>
        <v>68.799999999999955</v>
      </c>
      <c r="AA10" s="2">
        <v>0</v>
      </c>
      <c r="AB10" s="2">
        <f>AA7*0.1</f>
        <v>80</v>
      </c>
      <c r="AC10" s="1">
        <f>Z10+AA10-AB10</f>
        <v>-11.200000000000045</v>
      </c>
      <c r="AD10" s="2">
        <v>0</v>
      </c>
      <c r="AE10" s="2">
        <f>AD7*0.1</f>
        <v>0</v>
      </c>
      <c r="AF10" s="1">
        <f>AC10+AD10-AE10</f>
        <v>-11.200000000000045</v>
      </c>
      <c r="AG10" s="2">
        <v>0</v>
      </c>
      <c r="AH10" s="2">
        <f>AG7*0.1</f>
        <v>0</v>
      </c>
      <c r="AI10" s="1">
        <f>AF10+AG10-AH10</f>
        <v>-11.200000000000045</v>
      </c>
      <c r="AJ10" s="2">
        <f>SUM(AG10,AD10,AA10,X10,U10,R10,O10,L10,I10,F10,C10)</f>
        <v>547</v>
      </c>
      <c r="AK10" s="2">
        <f>SUM(AH10,AE10,AB10,Y10,V10,S10,P10,M10,J10,G10,D10)</f>
        <v>523.1</v>
      </c>
      <c r="AL10" s="1">
        <f>B10+AJ10-AK10</f>
        <v>-11.200000000000045</v>
      </c>
    </row>
    <row r="11" spans="1:38" s="6" customFormat="1" ht="27.75" customHeight="1">
      <c r="A11" s="10" t="s">
        <v>25</v>
      </c>
      <c r="B11" s="1">
        <v>-7.86</v>
      </c>
      <c r="C11" s="2">
        <v>0</v>
      </c>
      <c r="D11" s="2">
        <v>3</v>
      </c>
      <c r="E11" s="1">
        <f t="shared" ref="E11:E23" si="8">B11+C11-D11</f>
        <v>-10.86</v>
      </c>
      <c r="F11" s="2">
        <v>0</v>
      </c>
      <c r="G11" s="2">
        <v>1.86</v>
      </c>
      <c r="H11" s="1">
        <f t="shared" ref="H11:H23" si="9">E11+F11-G11</f>
        <v>-12.719999999999999</v>
      </c>
      <c r="I11" s="2">
        <v>10</v>
      </c>
      <c r="J11" s="2">
        <v>5.66</v>
      </c>
      <c r="K11" s="1">
        <f t="shared" ref="K11:K23" si="10">H11+I11-J11</f>
        <v>-8.379999999999999</v>
      </c>
      <c r="L11" s="2">
        <v>3.2</v>
      </c>
      <c r="M11" s="2">
        <v>3.2</v>
      </c>
      <c r="N11" s="1">
        <f t="shared" ref="N11:N23" si="11">K11+L11-M11</f>
        <v>-8.379999999999999</v>
      </c>
      <c r="O11" s="2">
        <v>4.4800000000000004</v>
      </c>
      <c r="P11" s="2">
        <v>4.4800000000000004</v>
      </c>
      <c r="Q11" s="1">
        <f t="shared" ref="Q11:Q23" si="12">N11+O11-P11</f>
        <v>-8.379999999999999</v>
      </c>
      <c r="R11" s="2">
        <v>1.92</v>
      </c>
      <c r="S11" s="2">
        <v>1.92</v>
      </c>
      <c r="T11" s="1">
        <f t="shared" ref="T11:T16" si="13">Q11+R11-S11</f>
        <v>-8.379999999999999</v>
      </c>
      <c r="U11" s="2">
        <v>4.4800000000000004</v>
      </c>
      <c r="V11" s="2">
        <v>4.4800000000000004</v>
      </c>
      <c r="W11" s="1">
        <f t="shared" ref="W11:W16" si="14">T11+U11-V11</f>
        <v>-8.379999999999999</v>
      </c>
      <c r="X11" s="11">
        <v>6</v>
      </c>
      <c r="Y11" s="2">
        <v>4.4800000000000004</v>
      </c>
      <c r="Z11" s="1">
        <f t="shared" ref="Z11:Z23" si="15">W11+X11-Y11</f>
        <v>-6.8599999999999994</v>
      </c>
      <c r="AA11" s="2">
        <v>0</v>
      </c>
      <c r="AB11" s="2">
        <v>5.12</v>
      </c>
      <c r="AC11" s="1">
        <f t="shared" ref="AC11:AC23" si="16">Z11+AA11-AB11</f>
        <v>-11.98</v>
      </c>
      <c r="AD11" s="2">
        <v>0</v>
      </c>
      <c r="AE11" s="2">
        <v>0</v>
      </c>
      <c r="AF11" s="1">
        <f t="shared" ref="AF11:AF23" si="17">AC11+AD11-AE11</f>
        <v>-11.98</v>
      </c>
      <c r="AG11" s="2">
        <v>0</v>
      </c>
      <c r="AH11" s="2">
        <v>0</v>
      </c>
      <c r="AI11" s="1">
        <f t="shared" ref="AI11:AI23" si="18">AF11+AG11-AH11</f>
        <v>-11.98</v>
      </c>
      <c r="AJ11" s="2">
        <f t="shared" ref="AJ11:AK23" si="19">SUM(AG11,AD11,AA11,X11,U11,R11,O11,L11,I11,F11,C11)</f>
        <v>30.080000000000002</v>
      </c>
      <c r="AK11" s="2">
        <f t="shared" si="19"/>
        <v>34.200000000000003</v>
      </c>
      <c r="AL11" s="1">
        <f t="shared" ref="AL11:AL23" si="20">B11+AJ11-AK11</f>
        <v>-11.98</v>
      </c>
    </row>
    <row r="12" spans="1:38" s="6" customFormat="1" ht="27.75" customHeight="1">
      <c r="A12" s="10" t="s">
        <v>26</v>
      </c>
      <c r="B12" s="1">
        <v>-16.38</v>
      </c>
      <c r="C12" s="2">
        <v>0</v>
      </c>
      <c r="D12" s="2">
        <v>1.2</v>
      </c>
      <c r="E12" s="1">
        <f t="shared" si="8"/>
        <v>-17.579999999999998</v>
      </c>
      <c r="F12" s="2">
        <v>0</v>
      </c>
      <c r="G12" s="2">
        <v>3.1</v>
      </c>
      <c r="H12" s="1">
        <f t="shared" si="9"/>
        <v>-20.68</v>
      </c>
      <c r="I12" s="2">
        <v>10</v>
      </c>
      <c r="J12" s="2">
        <v>4.4000000000000004</v>
      </c>
      <c r="K12" s="1">
        <f t="shared" si="10"/>
        <v>-15.08</v>
      </c>
      <c r="L12" s="2">
        <v>3.84</v>
      </c>
      <c r="M12" s="2">
        <v>3.84</v>
      </c>
      <c r="N12" s="1">
        <f t="shared" si="11"/>
        <v>-15.08</v>
      </c>
      <c r="O12" s="2">
        <v>4.4800000000000004</v>
      </c>
      <c r="P12" s="2">
        <v>4.4800000000000004</v>
      </c>
      <c r="Q12" s="1">
        <f t="shared" si="12"/>
        <v>-15.08</v>
      </c>
      <c r="R12" s="2">
        <v>2.56</v>
      </c>
      <c r="S12" s="2">
        <v>2.56</v>
      </c>
      <c r="T12" s="1">
        <f t="shared" si="13"/>
        <v>-15.08</v>
      </c>
      <c r="U12" s="2">
        <v>4.4800000000000004</v>
      </c>
      <c r="V12" s="2">
        <v>4.4800000000000004</v>
      </c>
      <c r="W12" s="1">
        <f t="shared" si="14"/>
        <v>-15.08</v>
      </c>
      <c r="X12" s="11">
        <v>0</v>
      </c>
      <c r="Y12" s="2">
        <v>2.56</v>
      </c>
      <c r="Z12" s="1">
        <f t="shared" si="15"/>
        <v>-17.64</v>
      </c>
      <c r="AA12" s="2">
        <v>10</v>
      </c>
      <c r="AB12" s="2">
        <v>0</v>
      </c>
      <c r="AC12" s="1">
        <f t="shared" si="16"/>
        <v>-7.6400000000000006</v>
      </c>
      <c r="AD12" s="2">
        <v>0</v>
      </c>
      <c r="AE12" s="2">
        <v>0</v>
      </c>
      <c r="AF12" s="1">
        <f t="shared" si="17"/>
        <v>-7.6400000000000006</v>
      </c>
      <c r="AG12" s="2">
        <v>0</v>
      </c>
      <c r="AH12" s="2">
        <v>0</v>
      </c>
      <c r="AI12" s="1">
        <f t="shared" si="18"/>
        <v>-7.6400000000000006</v>
      </c>
      <c r="AJ12" s="2">
        <f t="shared" si="19"/>
        <v>35.36</v>
      </c>
      <c r="AK12" s="2">
        <f t="shared" si="19"/>
        <v>26.62</v>
      </c>
      <c r="AL12" s="1">
        <f t="shared" si="20"/>
        <v>-7.6400000000000006</v>
      </c>
    </row>
    <row r="13" spans="1:38" s="6" customFormat="1" ht="27.75" customHeight="1">
      <c r="A13" s="10" t="s">
        <v>27</v>
      </c>
      <c r="B13" s="1">
        <v>0</v>
      </c>
      <c r="C13" s="2">
        <v>0</v>
      </c>
      <c r="D13" s="2">
        <v>0</v>
      </c>
      <c r="E13" s="1">
        <f t="shared" si="8"/>
        <v>0</v>
      </c>
      <c r="F13" s="2">
        <v>0</v>
      </c>
      <c r="G13" s="2">
        <v>0</v>
      </c>
      <c r="H13" s="1">
        <f t="shared" si="9"/>
        <v>0</v>
      </c>
      <c r="I13" s="2">
        <v>0</v>
      </c>
      <c r="J13" s="2">
        <v>0</v>
      </c>
      <c r="K13" s="1">
        <f t="shared" si="10"/>
        <v>0</v>
      </c>
      <c r="L13" s="2">
        <v>0</v>
      </c>
      <c r="M13" s="2">
        <v>0</v>
      </c>
      <c r="N13" s="1">
        <f t="shared" si="11"/>
        <v>0</v>
      </c>
      <c r="O13" s="2">
        <v>0</v>
      </c>
      <c r="P13" s="2">
        <v>0</v>
      </c>
      <c r="Q13" s="1">
        <f t="shared" si="12"/>
        <v>0</v>
      </c>
      <c r="R13" s="2">
        <v>0</v>
      </c>
      <c r="S13" s="2">
        <v>0</v>
      </c>
      <c r="T13" s="1">
        <f t="shared" si="13"/>
        <v>0</v>
      </c>
      <c r="U13" s="2">
        <v>0</v>
      </c>
      <c r="V13" s="2">
        <v>0</v>
      </c>
      <c r="W13" s="1">
        <f t="shared" si="14"/>
        <v>0</v>
      </c>
      <c r="X13" s="11">
        <v>0</v>
      </c>
      <c r="Y13" s="2">
        <v>0</v>
      </c>
      <c r="Z13" s="1">
        <f t="shared" si="15"/>
        <v>0</v>
      </c>
      <c r="AA13" s="2">
        <v>0</v>
      </c>
      <c r="AB13" s="2">
        <v>0</v>
      </c>
      <c r="AC13" s="1">
        <f t="shared" si="16"/>
        <v>0</v>
      </c>
      <c r="AD13" s="2">
        <v>0</v>
      </c>
      <c r="AE13" s="2">
        <v>0</v>
      </c>
      <c r="AF13" s="1">
        <f t="shared" si="17"/>
        <v>0</v>
      </c>
      <c r="AG13" s="2">
        <v>0</v>
      </c>
      <c r="AH13" s="2">
        <v>0</v>
      </c>
      <c r="AI13" s="1">
        <f t="shared" si="18"/>
        <v>0</v>
      </c>
      <c r="AJ13" s="2">
        <f t="shared" si="19"/>
        <v>0</v>
      </c>
      <c r="AK13" s="2">
        <f t="shared" si="19"/>
        <v>0</v>
      </c>
      <c r="AL13" s="1">
        <f t="shared" si="20"/>
        <v>0</v>
      </c>
    </row>
    <row r="14" spans="1:38" s="6" customFormat="1" ht="27.75" customHeight="1">
      <c r="A14" s="10" t="s">
        <v>28</v>
      </c>
      <c r="B14" s="1">
        <v>0</v>
      </c>
      <c r="C14" s="2">
        <v>0</v>
      </c>
      <c r="D14" s="2">
        <v>0</v>
      </c>
      <c r="E14" s="1">
        <f t="shared" si="8"/>
        <v>0</v>
      </c>
      <c r="F14" s="2">
        <v>0</v>
      </c>
      <c r="G14" s="2">
        <v>0</v>
      </c>
      <c r="H14" s="1">
        <f t="shared" si="9"/>
        <v>0</v>
      </c>
      <c r="I14" s="2">
        <v>0</v>
      </c>
      <c r="J14" s="2">
        <v>0</v>
      </c>
      <c r="K14" s="1">
        <f t="shared" si="10"/>
        <v>0</v>
      </c>
      <c r="L14" s="2">
        <v>0</v>
      </c>
      <c r="M14" s="2">
        <v>0</v>
      </c>
      <c r="N14" s="1">
        <f t="shared" si="11"/>
        <v>0</v>
      </c>
      <c r="O14" s="2">
        <v>0</v>
      </c>
      <c r="P14" s="2">
        <v>0</v>
      </c>
      <c r="Q14" s="1">
        <f t="shared" si="12"/>
        <v>0</v>
      </c>
      <c r="R14" s="2">
        <v>0</v>
      </c>
      <c r="S14" s="2">
        <v>0</v>
      </c>
      <c r="T14" s="1">
        <f t="shared" si="13"/>
        <v>0</v>
      </c>
      <c r="U14" s="2">
        <v>0</v>
      </c>
      <c r="V14" s="2">
        <v>0</v>
      </c>
      <c r="W14" s="1">
        <f t="shared" si="14"/>
        <v>0</v>
      </c>
      <c r="X14" s="11">
        <v>6</v>
      </c>
      <c r="Y14" s="2">
        <v>1.28</v>
      </c>
      <c r="Z14" s="1">
        <f t="shared" si="15"/>
        <v>4.72</v>
      </c>
      <c r="AA14" s="2">
        <v>0</v>
      </c>
      <c r="AB14" s="2">
        <v>5.76</v>
      </c>
      <c r="AC14" s="1">
        <f t="shared" si="16"/>
        <v>-1.04</v>
      </c>
      <c r="AD14" s="2">
        <v>0</v>
      </c>
      <c r="AE14" s="2">
        <v>0</v>
      </c>
      <c r="AF14" s="1">
        <f t="shared" si="17"/>
        <v>-1.04</v>
      </c>
      <c r="AG14" s="2">
        <v>0</v>
      </c>
      <c r="AH14" s="2">
        <v>0</v>
      </c>
      <c r="AI14" s="1">
        <f t="shared" si="18"/>
        <v>-1.04</v>
      </c>
      <c r="AJ14" s="2">
        <f t="shared" si="19"/>
        <v>6</v>
      </c>
      <c r="AK14" s="2">
        <f t="shared" si="19"/>
        <v>7.04</v>
      </c>
      <c r="AL14" s="1">
        <f t="shared" si="20"/>
        <v>-1.04</v>
      </c>
    </row>
    <row r="15" spans="1:38" s="6" customFormat="1" ht="27.75" customHeight="1">
      <c r="A15" s="10" t="s">
        <v>29</v>
      </c>
      <c r="B15" s="1">
        <v>0</v>
      </c>
      <c r="C15" s="2">
        <v>0</v>
      </c>
      <c r="D15" s="2">
        <v>0</v>
      </c>
      <c r="E15" s="1">
        <f t="shared" si="8"/>
        <v>0</v>
      </c>
      <c r="F15" s="2">
        <v>0</v>
      </c>
      <c r="G15" s="2">
        <v>0</v>
      </c>
      <c r="H15" s="1">
        <f t="shared" si="9"/>
        <v>0</v>
      </c>
      <c r="I15" s="2">
        <v>0</v>
      </c>
      <c r="J15" s="2">
        <v>0</v>
      </c>
      <c r="K15" s="1">
        <f t="shared" si="10"/>
        <v>0</v>
      </c>
      <c r="L15" s="2">
        <v>0</v>
      </c>
      <c r="M15" s="2">
        <v>0</v>
      </c>
      <c r="N15" s="1">
        <f t="shared" si="11"/>
        <v>0</v>
      </c>
      <c r="O15" s="2">
        <v>0</v>
      </c>
      <c r="P15" s="2">
        <v>0</v>
      </c>
      <c r="Q15" s="1">
        <f t="shared" si="12"/>
        <v>0</v>
      </c>
      <c r="R15" s="2">
        <v>0</v>
      </c>
      <c r="S15" s="2">
        <v>0</v>
      </c>
      <c r="T15" s="1">
        <f t="shared" si="13"/>
        <v>0</v>
      </c>
      <c r="U15" s="2">
        <v>0</v>
      </c>
      <c r="V15" s="2">
        <v>0</v>
      </c>
      <c r="W15" s="1">
        <f t="shared" si="14"/>
        <v>0</v>
      </c>
      <c r="X15" s="11">
        <v>0</v>
      </c>
      <c r="Y15" s="2">
        <v>0</v>
      </c>
      <c r="Z15" s="1">
        <f t="shared" si="15"/>
        <v>0</v>
      </c>
      <c r="AA15" s="2">
        <v>0</v>
      </c>
      <c r="AB15" s="2">
        <v>0</v>
      </c>
      <c r="AC15" s="1">
        <f t="shared" si="16"/>
        <v>0</v>
      </c>
      <c r="AD15" s="2">
        <v>0</v>
      </c>
      <c r="AE15" s="2">
        <v>0</v>
      </c>
      <c r="AF15" s="1">
        <f t="shared" si="17"/>
        <v>0</v>
      </c>
      <c r="AG15" s="2">
        <v>0</v>
      </c>
      <c r="AH15" s="2">
        <v>0</v>
      </c>
      <c r="AI15" s="1">
        <f t="shared" si="18"/>
        <v>0</v>
      </c>
      <c r="AJ15" s="2">
        <f t="shared" si="19"/>
        <v>0</v>
      </c>
      <c r="AK15" s="2">
        <f t="shared" si="19"/>
        <v>0</v>
      </c>
      <c r="AL15" s="1">
        <f t="shared" si="20"/>
        <v>0</v>
      </c>
    </row>
    <row r="16" spans="1:38" s="6" customFormat="1" ht="27.75" customHeight="1">
      <c r="A16" s="10" t="s">
        <v>30</v>
      </c>
      <c r="B16" s="1">
        <v>-0.88200000000000001</v>
      </c>
      <c r="C16" s="2">
        <v>0</v>
      </c>
      <c r="D16" s="2">
        <v>2.4</v>
      </c>
      <c r="E16" s="1">
        <f t="shared" si="8"/>
        <v>-3.282</v>
      </c>
      <c r="F16" s="2">
        <v>0</v>
      </c>
      <c r="G16" s="2">
        <v>3.1</v>
      </c>
      <c r="H16" s="1">
        <f t="shared" si="9"/>
        <v>-6.3819999999999997</v>
      </c>
      <c r="I16" s="2">
        <v>11</v>
      </c>
      <c r="J16" s="2">
        <v>5.66</v>
      </c>
      <c r="K16" s="1">
        <f t="shared" si="10"/>
        <v>-1.0419999999999998</v>
      </c>
      <c r="L16" s="2">
        <v>4.4800000000000004</v>
      </c>
      <c r="M16" s="2">
        <v>4.4800000000000004</v>
      </c>
      <c r="N16" s="1">
        <f t="shared" si="11"/>
        <v>-1.0419999999999998</v>
      </c>
      <c r="O16" s="2">
        <v>4.4800000000000004</v>
      </c>
      <c r="P16" s="2">
        <v>4.4800000000000004</v>
      </c>
      <c r="Q16" s="1">
        <f t="shared" si="12"/>
        <v>-1.0419999999999998</v>
      </c>
      <c r="R16" s="2">
        <v>2.56</v>
      </c>
      <c r="S16" s="2">
        <v>2.56</v>
      </c>
      <c r="T16" s="1">
        <f t="shared" si="13"/>
        <v>-1.0419999999999998</v>
      </c>
      <c r="U16" s="2">
        <v>4.4800000000000004</v>
      </c>
      <c r="V16" s="2">
        <v>4.4800000000000004</v>
      </c>
      <c r="W16" s="1">
        <f t="shared" si="14"/>
        <v>-1.0419999999999998</v>
      </c>
      <c r="X16" s="11">
        <v>6</v>
      </c>
      <c r="Y16" s="2">
        <v>4.4800000000000004</v>
      </c>
      <c r="Z16" s="1">
        <f t="shared" si="15"/>
        <v>0.47799999999999976</v>
      </c>
      <c r="AA16" s="2">
        <v>0</v>
      </c>
      <c r="AB16" s="2">
        <v>5.12</v>
      </c>
      <c r="AC16" s="1">
        <f t="shared" si="16"/>
        <v>-4.6420000000000003</v>
      </c>
      <c r="AD16" s="2">
        <v>0</v>
      </c>
      <c r="AE16" s="2">
        <v>0</v>
      </c>
      <c r="AF16" s="1">
        <f t="shared" si="17"/>
        <v>-4.6420000000000003</v>
      </c>
      <c r="AG16" s="2">
        <v>0</v>
      </c>
      <c r="AH16" s="2">
        <v>0</v>
      </c>
      <c r="AI16" s="1">
        <f t="shared" si="18"/>
        <v>-4.6420000000000003</v>
      </c>
      <c r="AJ16" s="2">
        <f t="shared" si="19"/>
        <v>33</v>
      </c>
      <c r="AK16" s="2">
        <f t="shared" si="19"/>
        <v>36.76</v>
      </c>
      <c r="AL16" s="1">
        <f t="shared" si="20"/>
        <v>-4.6419999999999959</v>
      </c>
    </row>
    <row r="17" spans="1:38" s="6" customFormat="1" ht="27.75" customHeight="1">
      <c r="A17" s="10" t="s">
        <v>31</v>
      </c>
      <c r="B17" s="1">
        <v>-4.782</v>
      </c>
      <c r="C17" s="2">
        <v>0</v>
      </c>
      <c r="D17" s="2">
        <f>ROUND(C7*15,0)/10000</f>
        <v>0.495</v>
      </c>
      <c r="E17" s="1">
        <f>B17+C17-D17</f>
        <v>-5.2770000000000001</v>
      </c>
      <c r="F17" s="2">
        <v>0</v>
      </c>
      <c r="G17" s="2">
        <f>ROUND(F7*15,0)/10000</f>
        <v>0.60450000000000004</v>
      </c>
      <c r="H17" s="1">
        <f>E17+F17-G17</f>
        <v>-5.8815</v>
      </c>
      <c r="I17" s="2">
        <v>0.5</v>
      </c>
      <c r="J17" s="2">
        <f>ROUND(I7*15,0)/10000</f>
        <v>1.179</v>
      </c>
      <c r="K17" s="1">
        <f>H17+I17-J17</f>
        <v>-6.5605000000000002</v>
      </c>
      <c r="L17" s="2">
        <v>0.86399999999999999</v>
      </c>
      <c r="M17" s="2">
        <f>ROUND(L7*15,0)/10000</f>
        <v>0.86399999999999999</v>
      </c>
      <c r="N17" s="1">
        <f>K17+L17-M17</f>
        <v>-6.5605000000000002</v>
      </c>
      <c r="O17" s="2">
        <v>1.008</v>
      </c>
      <c r="P17" s="2">
        <f>ROUND(O7*15,0)/10000</f>
        <v>1.008</v>
      </c>
      <c r="Q17" s="1">
        <f>N17+O17-P17</f>
        <v>-6.5605000000000002</v>
      </c>
      <c r="R17" s="2">
        <v>0.52800000000000002</v>
      </c>
      <c r="S17" s="2">
        <f>ROUND(R7*15,0)/10000</f>
        <v>0.52800000000000002</v>
      </c>
      <c r="T17" s="1">
        <f>Q17+R17-S17</f>
        <v>-6.5605000000000011</v>
      </c>
      <c r="U17" s="2">
        <v>1.008</v>
      </c>
      <c r="V17" s="2">
        <f>ROUND(U7*15,0)/10000</f>
        <v>1.008</v>
      </c>
      <c r="W17" s="1">
        <f>T17+U17-V17</f>
        <v>-6.5605000000000011</v>
      </c>
      <c r="X17" s="11">
        <v>0.5</v>
      </c>
      <c r="Y17" s="2">
        <v>0.96</v>
      </c>
      <c r="Z17" s="1">
        <f>W17+X17-Y17</f>
        <v>-7.0205000000000011</v>
      </c>
      <c r="AA17" s="2">
        <v>0</v>
      </c>
      <c r="AB17" s="2">
        <f>ROUND(AA7*15,0)/10000</f>
        <v>1.2</v>
      </c>
      <c r="AC17" s="1">
        <f>Z17+AA17-AB17</f>
        <v>-8.2205000000000013</v>
      </c>
      <c r="AD17" s="2">
        <v>0</v>
      </c>
      <c r="AE17" s="2">
        <f>ROUND(AD7*15,0)/10000</f>
        <v>0</v>
      </c>
      <c r="AF17" s="1">
        <f>AC17+AD17-AE17</f>
        <v>-8.2205000000000013</v>
      </c>
      <c r="AG17" s="2">
        <v>0</v>
      </c>
      <c r="AH17" s="2">
        <f>ROUND(AG7*15,0)/10000</f>
        <v>0</v>
      </c>
      <c r="AI17" s="1">
        <f>AF17+AG17-AH17</f>
        <v>-8.2205000000000013</v>
      </c>
      <c r="AJ17" s="2">
        <f>SUM(AG17,AD17,AA17,X17,U17,R17,O17,L17,I17,F17,C17)</f>
        <v>4.4079999999999995</v>
      </c>
      <c r="AK17" s="2">
        <f>SUM(AH17,AE17,AB17,Y17,V17,S17,P17,M17,J17,G17,D17)</f>
        <v>7.8465000000000007</v>
      </c>
      <c r="AL17" s="1">
        <f>B17+AJ17-AK17</f>
        <v>-8.2205000000000013</v>
      </c>
    </row>
    <row r="18" spans="1:38" s="6" customFormat="1" ht="27.75" customHeight="1">
      <c r="A18" s="10" t="s">
        <v>32</v>
      </c>
      <c r="B18" s="1">
        <v>-4.782</v>
      </c>
      <c r="C18" s="2">
        <v>0</v>
      </c>
      <c r="D18" s="2">
        <f>ROUND(C7*15,0)/10000</f>
        <v>0.495</v>
      </c>
      <c r="E18" s="1">
        <f t="shared" si="8"/>
        <v>-5.2770000000000001</v>
      </c>
      <c r="F18" s="2">
        <v>0</v>
      </c>
      <c r="G18" s="2">
        <f>ROUND(F7*15,0)/10000</f>
        <v>0.60450000000000004</v>
      </c>
      <c r="H18" s="1">
        <f t="shared" si="9"/>
        <v>-5.8815</v>
      </c>
      <c r="I18" s="2">
        <v>0.5</v>
      </c>
      <c r="J18" s="2">
        <f>ROUND(I7*15,0)/10000</f>
        <v>1.179</v>
      </c>
      <c r="K18" s="1">
        <f t="shared" si="10"/>
        <v>-6.5605000000000002</v>
      </c>
      <c r="L18" s="2">
        <v>0.86399999999999999</v>
      </c>
      <c r="M18" s="2">
        <f>ROUND(L7*15,0)/10000</f>
        <v>0.86399999999999999</v>
      </c>
      <c r="N18" s="1">
        <f t="shared" si="11"/>
        <v>-6.5605000000000002</v>
      </c>
      <c r="O18" s="2">
        <v>1.008</v>
      </c>
      <c r="P18" s="2">
        <f>ROUND(O7*15,0)/10000</f>
        <v>1.008</v>
      </c>
      <c r="Q18" s="1">
        <f t="shared" si="12"/>
        <v>-6.5605000000000002</v>
      </c>
      <c r="R18" s="2">
        <v>0.52800000000000002</v>
      </c>
      <c r="S18" s="2">
        <f>ROUND(R7*15,0)/10000</f>
        <v>0.52800000000000002</v>
      </c>
      <c r="T18" s="1">
        <f t="shared" ref="T18:T21" si="21">Q18+R18-S18</f>
        <v>-6.5605000000000011</v>
      </c>
      <c r="U18" s="2">
        <v>1.008</v>
      </c>
      <c r="V18" s="2">
        <f>ROUND(U7*15,0)/10000</f>
        <v>1.008</v>
      </c>
      <c r="W18" s="1">
        <f t="shared" ref="W18:W21" si="22">T18+U18-V18</f>
        <v>-6.5605000000000011</v>
      </c>
      <c r="X18" s="11">
        <v>0.5</v>
      </c>
      <c r="Y18" s="2">
        <v>0.96</v>
      </c>
      <c r="Z18" s="1">
        <f t="shared" si="15"/>
        <v>-7.0205000000000011</v>
      </c>
      <c r="AA18" s="2">
        <v>0</v>
      </c>
      <c r="AB18" s="2">
        <f>ROUND(AA7*15,0)/10000</f>
        <v>1.2</v>
      </c>
      <c r="AC18" s="1">
        <f t="shared" si="16"/>
        <v>-8.2205000000000013</v>
      </c>
      <c r="AD18" s="2">
        <v>0</v>
      </c>
      <c r="AE18" s="2">
        <f>ROUND(AD7*15,0)/10000</f>
        <v>0</v>
      </c>
      <c r="AF18" s="1">
        <f t="shared" si="17"/>
        <v>-8.2205000000000013</v>
      </c>
      <c r="AG18" s="2">
        <v>0</v>
      </c>
      <c r="AH18" s="2">
        <f>ROUND(AG7*15,0)/10000</f>
        <v>0</v>
      </c>
      <c r="AI18" s="1">
        <f t="shared" si="18"/>
        <v>-8.2205000000000013</v>
      </c>
      <c r="AJ18" s="2">
        <f t="shared" si="19"/>
        <v>4.4079999999999995</v>
      </c>
      <c r="AK18" s="2">
        <f t="shared" si="19"/>
        <v>7.8465000000000007</v>
      </c>
      <c r="AL18" s="1">
        <f t="shared" si="20"/>
        <v>-8.2205000000000013</v>
      </c>
    </row>
    <row r="19" spans="1:38" s="6" customFormat="1" ht="27.75" customHeight="1">
      <c r="A19" s="10" t="s">
        <v>33</v>
      </c>
      <c r="B19" s="1">
        <v>-4.1760000000000002</v>
      </c>
      <c r="C19" s="2">
        <v>0</v>
      </c>
      <c r="D19" s="2">
        <f>ROUND(C7*15,0)/10000</f>
        <v>0.495</v>
      </c>
      <c r="E19" s="1">
        <f t="shared" si="8"/>
        <v>-4.6710000000000003</v>
      </c>
      <c r="F19" s="2">
        <v>0</v>
      </c>
      <c r="G19" s="2">
        <f>ROUND(F7*15,0)/10000</f>
        <v>0.60450000000000004</v>
      </c>
      <c r="H19" s="1">
        <f t="shared" si="9"/>
        <v>-5.2755000000000001</v>
      </c>
      <c r="I19" s="2">
        <v>0.5</v>
      </c>
      <c r="J19" s="2">
        <f>ROUND(I7*15,0)/10000</f>
        <v>1.179</v>
      </c>
      <c r="K19" s="1">
        <f t="shared" si="10"/>
        <v>-5.9545000000000003</v>
      </c>
      <c r="L19" s="2">
        <v>0.86399999999999999</v>
      </c>
      <c r="M19" s="2">
        <f>ROUND(L7*15,0)/10000</f>
        <v>0.86399999999999999</v>
      </c>
      <c r="N19" s="1">
        <f t="shared" si="11"/>
        <v>-5.9545000000000003</v>
      </c>
      <c r="O19" s="2">
        <v>1.008</v>
      </c>
      <c r="P19" s="2">
        <f>ROUND(O7*15,0)/10000</f>
        <v>1.008</v>
      </c>
      <c r="Q19" s="1">
        <f t="shared" si="12"/>
        <v>-5.9545000000000003</v>
      </c>
      <c r="R19" s="2">
        <v>0.52800000000000002</v>
      </c>
      <c r="S19" s="2">
        <f>ROUND(R7*15,0)/10000</f>
        <v>0.52800000000000002</v>
      </c>
      <c r="T19" s="1">
        <f t="shared" si="21"/>
        <v>-5.9545000000000012</v>
      </c>
      <c r="U19" s="2">
        <v>1.008</v>
      </c>
      <c r="V19" s="2">
        <f>ROUND(U7*15,0)/10000</f>
        <v>1.008</v>
      </c>
      <c r="W19" s="1">
        <f t="shared" si="22"/>
        <v>-5.9545000000000012</v>
      </c>
      <c r="X19" s="11">
        <v>0.5</v>
      </c>
      <c r="Y19" s="2">
        <v>0.96</v>
      </c>
      <c r="Z19" s="1">
        <f t="shared" si="15"/>
        <v>-6.4145000000000012</v>
      </c>
      <c r="AA19" s="2">
        <v>0</v>
      </c>
      <c r="AB19" s="2">
        <f>ROUND(AA7*15,0)/10000</f>
        <v>1.2</v>
      </c>
      <c r="AC19" s="1">
        <f t="shared" si="16"/>
        <v>-7.6145000000000014</v>
      </c>
      <c r="AD19" s="2">
        <v>0</v>
      </c>
      <c r="AE19" s="2">
        <f>ROUND(AD7*15,0)/10000</f>
        <v>0</v>
      </c>
      <c r="AF19" s="1">
        <f t="shared" si="17"/>
        <v>-7.6145000000000014</v>
      </c>
      <c r="AG19" s="2">
        <v>0</v>
      </c>
      <c r="AH19" s="2">
        <f>ROUND(AG7*15,0)/10000</f>
        <v>0</v>
      </c>
      <c r="AI19" s="1">
        <f t="shared" si="18"/>
        <v>-7.6145000000000014</v>
      </c>
      <c r="AJ19" s="2">
        <f t="shared" si="19"/>
        <v>4.4079999999999995</v>
      </c>
      <c r="AK19" s="2">
        <f t="shared" si="19"/>
        <v>7.8465000000000007</v>
      </c>
      <c r="AL19" s="1">
        <f t="shared" si="20"/>
        <v>-7.6145000000000014</v>
      </c>
    </row>
    <row r="20" spans="1:38" s="6" customFormat="1" ht="27.75" customHeight="1">
      <c r="A20" s="10" t="s">
        <v>37</v>
      </c>
      <c r="B20" s="1">
        <v>1.6539999999999999</v>
      </c>
      <c r="C20" s="2">
        <v>0</v>
      </c>
      <c r="D20" s="2">
        <f>ROUND(C7*3,0)/1000</f>
        <v>0.99</v>
      </c>
      <c r="E20" s="1">
        <f t="shared" si="8"/>
        <v>0.66399999999999992</v>
      </c>
      <c r="F20" s="2">
        <v>0</v>
      </c>
      <c r="G20" s="2">
        <f>ROUND(F7*3,0)/1000</f>
        <v>1.2090000000000001</v>
      </c>
      <c r="H20" s="1">
        <f t="shared" si="9"/>
        <v>-0.54500000000000015</v>
      </c>
      <c r="I20" s="2">
        <v>1</v>
      </c>
      <c r="J20" s="2">
        <f>ROUND(I7*3,0)/1000</f>
        <v>2.3580000000000001</v>
      </c>
      <c r="K20" s="1">
        <f t="shared" si="10"/>
        <v>-1.9030000000000002</v>
      </c>
      <c r="L20" s="2">
        <v>1.728</v>
      </c>
      <c r="M20" s="2">
        <f>ROUND(L7*3,0)/1000</f>
        <v>1.728</v>
      </c>
      <c r="N20" s="1">
        <f t="shared" si="11"/>
        <v>-1.9030000000000002</v>
      </c>
      <c r="O20" s="2">
        <v>2.016</v>
      </c>
      <c r="P20" s="2">
        <f>ROUND(O7*3,0)/1000</f>
        <v>2.016</v>
      </c>
      <c r="Q20" s="1">
        <f t="shared" si="12"/>
        <v>-1.9030000000000002</v>
      </c>
      <c r="R20" s="2">
        <v>1.056</v>
      </c>
      <c r="S20" s="2">
        <f>ROUND(R7*3,0)/1000</f>
        <v>1.056</v>
      </c>
      <c r="T20" s="1">
        <f t="shared" si="21"/>
        <v>-1.9030000000000002</v>
      </c>
      <c r="U20" s="2">
        <v>2.016</v>
      </c>
      <c r="V20" s="2">
        <f>ROUND(U7*3,0)/1000</f>
        <v>2.016</v>
      </c>
      <c r="W20" s="1">
        <f t="shared" si="22"/>
        <v>-1.9030000000000002</v>
      </c>
      <c r="X20" s="11">
        <v>0.5</v>
      </c>
      <c r="Y20" s="2">
        <v>1.92</v>
      </c>
      <c r="Z20" s="1">
        <f t="shared" si="15"/>
        <v>-3.3230000000000004</v>
      </c>
      <c r="AA20" s="2">
        <v>0</v>
      </c>
      <c r="AB20" s="2">
        <f>ROUND(AA7*3,0)/1000</f>
        <v>2.4</v>
      </c>
      <c r="AC20" s="1">
        <f t="shared" si="16"/>
        <v>-5.7230000000000008</v>
      </c>
      <c r="AD20" s="2">
        <v>0</v>
      </c>
      <c r="AE20" s="2">
        <f>ROUND(AD7*3,0)/1000</f>
        <v>0</v>
      </c>
      <c r="AF20" s="1">
        <f t="shared" si="17"/>
        <v>-5.7230000000000008</v>
      </c>
      <c r="AG20" s="2">
        <v>0</v>
      </c>
      <c r="AH20" s="2">
        <f>ROUND(AG7*3,0)/1000</f>
        <v>0</v>
      </c>
      <c r="AI20" s="1">
        <f t="shared" si="18"/>
        <v>-5.7230000000000008</v>
      </c>
      <c r="AJ20" s="2">
        <f t="shared" si="19"/>
        <v>8.3159999999999989</v>
      </c>
      <c r="AK20" s="2">
        <f t="shared" si="19"/>
        <v>15.693000000000001</v>
      </c>
      <c r="AL20" s="1">
        <f t="shared" si="20"/>
        <v>-5.7230000000000025</v>
      </c>
    </row>
    <row r="21" spans="1:38" s="6" customFormat="1" ht="27.75" customHeight="1">
      <c r="A21" s="10" t="s">
        <v>35</v>
      </c>
      <c r="B21" s="1">
        <v>0.28899999999999998</v>
      </c>
      <c r="C21" s="2">
        <v>0</v>
      </c>
      <c r="D21" s="2">
        <f>ROUND(C7*4,0)/1000</f>
        <v>1.32</v>
      </c>
      <c r="E21" s="1">
        <f t="shared" si="8"/>
        <v>-1.0310000000000001</v>
      </c>
      <c r="F21" s="2">
        <v>0</v>
      </c>
      <c r="G21" s="2">
        <f>ROUND(F7*4,0)/1000</f>
        <v>1.6120000000000001</v>
      </c>
      <c r="H21" s="1">
        <f t="shared" si="9"/>
        <v>-2.6430000000000002</v>
      </c>
      <c r="I21" s="2">
        <v>6.37</v>
      </c>
      <c r="J21" s="2">
        <f>ROUND(I7*4,0)/1000</f>
        <v>3.1440000000000001</v>
      </c>
      <c r="K21" s="1">
        <f t="shared" si="10"/>
        <v>0.58299999999999974</v>
      </c>
      <c r="L21" s="2">
        <v>2.3039999999999998</v>
      </c>
      <c r="M21" s="2">
        <f>ROUND(L7*4,0)/1000</f>
        <v>2.3039999999999998</v>
      </c>
      <c r="N21" s="1">
        <f t="shared" si="11"/>
        <v>0.58299999999999974</v>
      </c>
      <c r="O21" s="2">
        <v>2.6880000000000002</v>
      </c>
      <c r="P21" s="2">
        <f>ROUND(O7*4,0)/1000</f>
        <v>2.6880000000000002</v>
      </c>
      <c r="Q21" s="1">
        <f t="shared" si="12"/>
        <v>0.58299999999999974</v>
      </c>
      <c r="R21" s="2">
        <v>1.4079999999999999</v>
      </c>
      <c r="S21" s="2">
        <f>ROUND(R7*4,0)/1000</f>
        <v>1.4079999999999999</v>
      </c>
      <c r="T21" s="1">
        <f t="shared" si="21"/>
        <v>0.58299999999999974</v>
      </c>
      <c r="U21" s="2">
        <v>2.6880000000000002</v>
      </c>
      <c r="V21" s="2">
        <f>ROUND(U7*4,0)/1000</f>
        <v>2.6880000000000002</v>
      </c>
      <c r="W21" s="1">
        <f t="shared" si="22"/>
        <v>0.58299999999999974</v>
      </c>
      <c r="X21" s="11">
        <v>5.46</v>
      </c>
      <c r="Y21" s="2">
        <v>2.56</v>
      </c>
      <c r="Z21" s="1">
        <f>W21+X21-Y21</f>
        <v>3.4829999999999992</v>
      </c>
      <c r="AA21" s="2">
        <v>0</v>
      </c>
      <c r="AB21" s="2">
        <f>ROUND(AA7*4,0)/1000</f>
        <v>3.2</v>
      </c>
      <c r="AC21" s="1">
        <f t="shared" si="16"/>
        <v>0.28299999999999903</v>
      </c>
      <c r="AD21" s="2">
        <v>0</v>
      </c>
      <c r="AE21" s="2">
        <f>ROUND(AD7*4,0)/1000</f>
        <v>0</v>
      </c>
      <c r="AF21" s="1">
        <f t="shared" si="17"/>
        <v>0.28299999999999903</v>
      </c>
      <c r="AG21" s="2">
        <v>0</v>
      </c>
      <c r="AH21" s="2">
        <f>ROUND(AG7*4,0)/1000</f>
        <v>0</v>
      </c>
      <c r="AI21" s="1">
        <f t="shared" si="18"/>
        <v>0.28299999999999903</v>
      </c>
      <c r="AJ21" s="2">
        <f t="shared" si="19"/>
        <v>20.917999999999999</v>
      </c>
      <c r="AK21" s="2">
        <f t="shared" si="19"/>
        <v>20.923999999999999</v>
      </c>
      <c r="AL21" s="1">
        <f t="shared" si="20"/>
        <v>0.28300000000000125</v>
      </c>
    </row>
    <row r="22" spans="1:38" s="6" customFormat="1" ht="27.75" customHeight="1">
      <c r="A22" s="10" t="s">
        <v>36</v>
      </c>
      <c r="B22" s="1">
        <v>-8.74</v>
      </c>
      <c r="C22" s="2">
        <v>0</v>
      </c>
      <c r="D22" s="2">
        <f>ROUND(C7*2,0)/1000</f>
        <v>0.66</v>
      </c>
      <c r="E22" s="1">
        <f>B22+C22-D22</f>
        <v>-9.4</v>
      </c>
      <c r="F22" s="2">
        <v>0</v>
      </c>
      <c r="G22" s="2">
        <f>ROUND(F7*2,0)/1000</f>
        <v>0.80600000000000005</v>
      </c>
      <c r="H22" s="1">
        <f>E22+F22-G22</f>
        <v>-10.206</v>
      </c>
      <c r="I22" s="2">
        <v>3</v>
      </c>
      <c r="J22" s="2">
        <f>ROUND(I7*2,0)/1000</f>
        <v>1.5720000000000001</v>
      </c>
      <c r="K22" s="1">
        <f>H22+I22-J22</f>
        <v>-8.7779999999999987</v>
      </c>
      <c r="L22" s="2">
        <v>1.1519999999999999</v>
      </c>
      <c r="M22" s="2">
        <f>ROUND(L7*2,0)/1000</f>
        <v>1.1519999999999999</v>
      </c>
      <c r="N22" s="1">
        <f>K22+L22-M22</f>
        <v>-8.7779999999999987</v>
      </c>
      <c r="O22" s="2">
        <v>1.3440000000000001</v>
      </c>
      <c r="P22" s="2">
        <f>ROUND(O7*2,0)/1000</f>
        <v>1.3440000000000001</v>
      </c>
      <c r="Q22" s="1">
        <f>N22+O22-P22</f>
        <v>-8.7779999999999987</v>
      </c>
      <c r="R22" s="2">
        <v>0.70399999999999996</v>
      </c>
      <c r="S22" s="2">
        <f>ROUND(R7*2,0)/1000</f>
        <v>0.70399999999999996</v>
      </c>
      <c r="T22" s="1">
        <f>Q22+R22-S22</f>
        <v>-8.7779999999999987</v>
      </c>
      <c r="U22" s="2">
        <v>1.3440000000000001</v>
      </c>
      <c r="V22" s="2">
        <f>ROUND(U7*2,0)/1000</f>
        <v>1.3440000000000001</v>
      </c>
      <c r="W22" s="1">
        <f>T22+U22-V22</f>
        <v>-8.7779999999999987</v>
      </c>
      <c r="X22" s="11">
        <v>3</v>
      </c>
      <c r="Y22" s="2">
        <v>1.28</v>
      </c>
      <c r="Z22" s="1">
        <f>W22+X22-Y22</f>
        <v>-7.0579999999999989</v>
      </c>
      <c r="AA22" s="2">
        <v>0</v>
      </c>
      <c r="AB22" s="2">
        <f>ROUND(AA7*2,0)/1000</f>
        <v>1.6</v>
      </c>
      <c r="AC22" s="1">
        <f>Z22+AA22-AB22</f>
        <v>-8.6579999999999995</v>
      </c>
      <c r="AD22" s="2">
        <v>0</v>
      </c>
      <c r="AE22" s="2">
        <f>ROUND(AD7*2,0)/1000</f>
        <v>0</v>
      </c>
      <c r="AF22" s="1">
        <f>AC22+AD22-AE22</f>
        <v>-8.6579999999999995</v>
      </c>
      <c r="AG22" s="2">
        <v>0</v>
      </c>
      <c r="AH22" s="2">
        <f>ROUND(AG7*2,0)/1000</f>
        <v>0</v>
      </c>
      <c r="AI22" s="1">
        <f>AF22+AG22-AH22</f>
        <v>-8.6579999999999995</v>
      </c>
      <c r="AJ22" s="2">
        <f>SUM(AG22,AD22,AA22,X22,U22,R22,O22,L22,I22,F22,C22)</f>
        <v>10.544</v>
      </c>
      <c r="AK22" s="2">
        <f>SUM(AH22,AE22,AB22,Y22,V22,S22,P22,M22,J22,G22,D22)</f>
        <v>10.462</v>
      </c>
      <c r="AL22" s="1">
        <f>B22+AJ22-AK22</f>
        <v>-8.6579999999999995</v>
      </c>
    </row>
    <row r="23" spans="1:38" s="6" customFormat="1" ht="27.75" customHeight="1">
      <c r="A23" s="10" t="s">
        <v>34</v>
      </c>
      <c r="B23" s="1">
        <v>0</v>
      </c>
      <c r="C23" s="2">
        <v>0</v>
      </c>
      <c r="D23" s="2">
        <v>0</v>
      </c>
      <c r="E23" s="1">
        <f t="shared" si="8"/>
        <v>0</v>
      </c>
      <c r="F23" s="2">
        <v>0</v>
      </c>
      <c r="G23" s="2">
        <v>0</v>
      </c>
      <c r="H23" s="1">
        <f t="shared" si="9"/>
        <v>0</v>
      </c>
      <c r="I23" s="2">
        <v>0</v>
      </c>
      <c r="J23" s="2">
        <v>0</v>
      </c>
      <c r="K23" s="1">
        <f t="shared" si="10"/>
        <v>0</v>
      </c>
      <c r="L23" s="2">
        <v>0</v>
      </c>
      <c r="M23" s="2">
        <v>0</v>
      </c>
      <c r="N23" s="1">
        <f t="shared" si="11"/>
        <v>0</v>
      </c>
      <c r="O23" s="2">
        <v>0</v>
      </c>
      <c r="P23" s="2">
        <v>0</v>
      </c>
      <c r="Q23" s="1">
        <f t="shared" si="12"/>
        <v>0</v>
      </c>
      <c r="R23" s="2">
        <v>0</v>
      </c>
      <c r="S23" s="2">
        <v>0</v>
      </c>
      <c r="T23" s="1">
        <f t="shared" ref="T23" si="23">Q23+R23-S23</f>
        <v>0</v>
      </c>
      <c r="U23" s="2">
        <v>0</v>
      </c>
      <c r="V23" s="2">
        <v>0</v>
      </c>
      <c r="W23" s="1">
        <f t="shared" ref="W23" si="24">T23+U23-V23</f>
        <v>0</v>
      </c>
      <c r="X23" s="11">
        <v>0</v>
      </c>
      <c r="Y23" s="2">
        <v>0</v>
      </c>
      <c r="Z23" s="1">
        <f t="shared" si="15"/>
        <v>0</v>
      </c>
      <c r="AA23" s="2">
        <v>0</v>
      </c>
      <c r="AB23" s="2">
        <v>0</v>
      </c>
      <c r="AC23" s="1">
        <f t="shared" si="16"/>
        <v>0</v>
      </c>
      <c r="AD23" s="2">
        <v>0</v>
      </c>
      <c r="AE23" s="2">
        <v>0</v>
      </c>
      <c r="AF23" s="1">
        <f t="shared" si="17"/>
        <v>0</v>
      </c>
      <c r="AG23" s="2">
        <v>0</v>
      </c>
      <c r="AH23" s="2">
        <v>0</v>
      </c>
      <c r="AI23" s="1">
        <f t="shared" si="18"/>
        <v>0</v>
      </c>
      <c r="AJ23" s="2">
        <f t="shared" si="19"/>
        <v>0</v>
      </c>
      <c r="AK23" s="2">
        <f t="shared" si="19"/>
        <v>0</v>
      </c>
      <c r="AL23" s="1">
        <f t="shared" si="20"/>
        <v>0</v>
      </c>
    </row>
  </sheetData>
  <mergeCells count="58">
    <mergeCell ref="F7:H7"/>
    <mergeCell ref="AG8:AI8"/>
    <mergeCell ref="AJ8:AL8"/>
    <mergeCell ref="U8:W8"/>
    <mergeCell ref="I7:K7"/>
    <mergeCell ref="I8:K8"/>
    <mergeCell ref="L8:N8"/>
    <mergeCell ref="O8:Q8"/>
    <mergeCell ref="R7:T7"/>
    <mergeCell ref="AG7:AI7"/>
    <mergeCell ref="AJ7:AL7"/>
    <mergeCell ref="R8:T8"/>
    <mergeCell ref="X8:Z8"/>
    <mergeCell ref="AD7:AF7"/>
    <mergeCell ref="X7:Z7"/>
    <mergeCell ref="U7:W7"/>
    <mergeCell ref="AD8:AF8"/>
    <mergeCell ref="AA8:AC8"/>
    <mergeCell ref="C8:E8"/>
    <mergeCell ref="AJ4:AL4"/>
    <mergeCell ref="F5:H5"/>
    <mergeCell ref="A4:H4"/>
    <mergeCell ref="I5:K5"/>
    <mergeCell ref="AG5:AI5"/>
    <mergeCell ref="A8:B8"/>
    <mergeCell ref="L7:N7"/>
    <mergeCell ref="F6:H6"/>
    <mergeCell ref="O7:Q7"/>
    <mergeCell ref="O5:Q5"/>
    <mergeCell ref="AA7:AC7"/>
    <mergeCell ref="AG6:AI6"/>
    <mergeCell ref="R5:T5"/>
    <mergeCell ref="F8:H8"/>
    <mergeCell ref="AD5:AF5"/>
    <mergeCell ref="A7:B7"/>
    <mergeCell ref="C7:E7"/>
    <mergeCell ref="A3:AL3"/>
    <mergeCell ref="C5:E5"/>
    <mergeCell ref="X5:Z5"/>
    <mergeCell ref="X6:Z6"/>
    <mergeCell ref="AA6:AC6"/>
    <mergeCell ref="AJ5:AL5"/>
    <mergeCell ref="C6:E6"/>
    <mergeCell ref="J4:Q4"/>
    <mergeCell ref="A5:B5"/>
    <mergeCell ref="I6:K6"/>
    <mergeCell ref="AA5:AC5"/>
    <mergeCell ref="AD6:AF6"/>
    <mergeCell ref="U5:W5"/>
    <mergeCell ref="R6:T6"/>
    <mergeCell ref="A1:AL1"/>
    <mergeCell ref="A2:AL2"/>
    <mergeCell ref="A6:B6"/>
    <mergeCell ref="L5:N5"/>
    <mergeCell ref="O6:Q6"/>
    <mergeCell ref="U6:W6"/>
    <mergeCell ref="AJ6:AL6"/>
    <mergeCell ref="L6:N6"/>
  </mergeCells>
  <printOptions horizontalCentered="1"/>
  <pageMargins left="0.75" right="0.2" top="0.5" bottom="0.5" header="0.3" footer="0.3"/>
  <pageSetup paperSize="5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7"/>
  <sheetViews>
    <sheetView topLeftCell="A7" zoomScale="73" workbookViewId="0">
      <selection activeCell="E53" sqref="E53"/>
    </sheetView>
  </sheetViews>
  <sheetFormatPr defaultColWidth="9" defaultRowHeight="20.25"/>
  <cols>
    <col min="1" max="1" width="7.1640625" style="12" customWidth="1"/>
    <col min="2" max="2" width="11.33203125" style="12" customWidth="1"/>
    <col min="3" max="3" width="6.58203125" style="13" customWidth="1"/>
    <col min="4" max="4" width="7.1640625" style="12" customWidth="1"/>
    <col min="5" max="6" width="12.08203125" style="12" customWidth="1"/>
    <col min="7" max="7" width="9.5" style="12" customWidth="1"/>
    <col min="8" max="12" width="8.9140625" style="12" customWidth="1"/>
    <col min="13" max="13" width="14.5" style="12" customWidth="1"/>
    <col min="14" max="256" width="8.83203125" style="12" customWidth="1"/>
  </cols>
  <sheetData>
    <row r="1" spans="1:13">
      <c r="A1" s="107" t="s">
        <v>57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23.25">
      <c r="A2" s="109" t="s">
        <v>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s="14" customFormat="1">
      <c r="L3" s="14" t="s">
        <v>60</v>
      </c>
      <c r="M3" s="14" t="s">
        <v>62</v>
      </c>
    </row>
    <row r="4" spans="1:13" ht="63" customHeight="1">
      <c r="A4" s="108" t="s">
        <v>41</v>
      </c>
      <c r="B4" s="108" t="s">
        <v>45</v>
      </c>
      <c r="C4" s="108" t="s">
        <v>1</v>
      </c>
      <c r="D4" s="108" t="s">
        <v>46</v>
      </c>
      <c r="E4" s="108" t="s">
        <v>47</v>
      </c>
      <c r="F4" s="108" t="s">
        <v>48</v>
      </c>
      <c r="G4" s="108" t="s">
        <v>70</v>
      </c>
      <c r="H4" s="108" t="s">
        <v>49</v>
      </c>
      <c r="I4" s="108"/>
      <c r="J4" s="108" t="s">
        <v>50</v>
      </c>
      <c r="K4" s="108"/>
      <c r="L4" s="108" t="s">
        <v>55</v>
      </c>
      <c r="M4" s="108" t="s">
        <v>56</v>
      </c>
    </row>
    <row r="5" spans="1:13" ht="45">
      <c r="A5" s="108"/>
      <c r="B5" s="108"/>
      <c r="C5" s="108"/>
      <c r="D5" s="108"/>
      <c r="E5" s="108"/>
      <c r="F5" s="108"/>
      <c r="G5" s="108"/>
      <c r="H5" s="15" t="s">
        <v>51</v>
      </c>
      <c r="I5" s="15" t="s">
        <v>52</v>
      </c>
      <c r="J5" s="15" t="s">
        <v>53</v>
      </c>
      <c r="K5" s="15" t="s">
        <v>54</v>
      </c>
      <c r="L5" s="108"/>
      <c r="M5" s="108"/>
    </row>
    <row r="6" spans="1:13" ht="127.5" customHeight="1">
      <c r="A6" s="15">
        <v>1</v>
      </c>
      <c r="B6" s="15" t="s">
        <v>38</v>
      </c>
      <c r="C6" s="15">
        <v>31</v>
      </c>
      <c r="D6" s="15">
        <v>13</v>
      </c>
      <c r="E6" s="16" t="s">
        <v>69</v>
      </c>
      <c r="F6" s="16">
        <v>20187923753</v>
      </c>
      <c r="G6" s="15" t="s">
        <v>71</v>
      </c>
      <c r="H6" s="15">
        <f>C6*D6</f>
        <v>403</v>
      </c>
      <c r="I6" s="15">
        <f>H6</f>
        <v>403</v>
      </c>
      <c r="J6" s="15">
        <f>ROUND(H6*1.51,0)</f>
        <v>609</v>
      </c>
      <c r="K6" s="15">
        <f>ROUND(I6*2.62,0)</f>
        <v>1056</v>
      </c>
      <c r="L6" s="15">
        <f>SUM(J6:K6)</f>
        <v>1665</v>
      </c>
      <c r="M6" s="15" t="s">
        <v>66</v>
      </c>
    </row>
    <row r="7" spans="1:13">
      <c r="A7" s="110" t="s">
        <v>59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</row>
    <row r="9" spans="1:13">
      <c r="A9" s="107" t="s">
        <v>57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</row>
    <row r="10" spans="1:13" ht="23.25">
      <c r="A10" s="109" t="s">
        <v>58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</row>
    <row r="11" spans="1:13" s="14" customFormat="1">
      <c r="L11" s="14" t="s">
        <v>60</v>
      </c>
      <c r="M11" s="14" t="s">
        <v>61</v>
      </c>
    </row>
    <row r="12" spans="1:13" ht="63" customHeight="1">
      <c r="A12" s="108" t="s">
        <v>41</v>
      </c>
      <c r="B12" s="108" t="s">
        <v>45</v>
      </c>
      <c r="C12" s="108" t="s">
        <v>1</v>
      </c>
      <c r="D12" s="108" t="s">
        <v>46</v>
      </c>
      <c r="E12" s="108" t="s">
        <v>47</v>
      </c>
      <c r="F12" s="108" t="s">
        <v>48</v>
      </c>
      <c r="G12" s="108" t="s">
        <v>70</v>
      </c>
      <c r="H12" s="108" t="s">
        <v>49</v>
      </c>
      <c r="I12" s="108"/>
      <c r="J12" s="108" t="s">
        <v>50</v>
      </c>
      <c r="K12" s="108"/>
      <c r="L12" s="108" t="s">
        <v>55</v>
      </c>
      <c r="M12" s="108" t="s">
        <v>56</v>
      </c>
    </row>
    <row r="13" spans="1:13" ht="45">
      <c r="A13" s="108"/>
      <c r="B13" s="108"/>
      <c r="C13" s="108"/>
      <c r="D13" s="108"/>
      <c r="E13" s="108"/>
      <c r="F13" s="108"/>
      <c r="G13" s="108"/>
      <c r="H13" s="15" t="s">
        <v>51</v>
      </c>
      <c r="I13" s="15" t="s">
        <v>52</v>
      </c>
      <c r="J13" s="15" t="s">
        <v>53</v>
      </c>
      <c r="K13" s="15" t="s">
        <v>54</v>
      </c>
      <c r="L13" s="108"/>
      <c r="M13" s="108"/>
    </row>
    <row r="14" spans="1:13" ht="127.5" customHeight="1">
      <c r="A14" s="15">
        <v>1</v>
      </c>
      <c r="B14" s="15" t="s">
        <v>38</v>
      </c>
      <c r="C14" s="15">
        <v>32</v>
      </c>
      <c r="D14" s="15">
        <v>25</v>
      </c>
      <c r="E14" s="16" t="s">
        <v>69</v>
      </c>
      <c r="F14" s="16">
        <v>20187923753</v>
      </c>
      <c r="G14" s="15" t="s">
        <v>71</v>
      </c>
      <c r="H14" s="15">
        <v>786</v>
      </c>
      <c r="I14" s="15">
        <f>H14</f>
        <v>786</v>
      </c>
      <c r="J14" s="15">
        <f>ROUND(H14*1.51,0)</f>
        <v>1187</v>
      </c>
      <c r="K14" s="15">
        <f>ROUND(I14*2.62,0)</f>
        <v>2059</v>
      </c>
      <c r="L14" s="15">
        <f>SUM(J14:K14)</f>
        <v>3246</v>
      </c>
      <c r="M14" s="15" t="s">
        <v>67</v>
      </c>
    </row>
    <row r="15" spans="1:13">
      <c r="A15" s="110" t="s">
        <v>59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</row>
    <row r="17" spans="1:13">
      <c r="A17" s="107" t="s">
        <v>57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</row>
    <row r="18" spans="1:13" ht="23.25">
      <c r="A18" s="109" t="s">
        <v>58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</row>
    <row r="19" spans="1:13" s="14" customFormat="1">
      <c r="L19" s="14" t="s">
        <v>60</v>
      </c>
      <c r="M19" s="14" t="s">
        <v>63</v>
      </c>
    </row>
    <row r="20" spans="1:13" ht="63" customHeight="1">
      <c r="A20" s="108" t="s">
        <v>41</v>
      </c>
      <c r="B20" s="108" t="s">
        <v>45</v>
      </c>
      <c r="C20" s="108" t="s">
        <v>1</v>
      </c>
      <c r="D20" s="108" t="s">
        <v>46</v>
      </c>
      <c r="E20" s="108" t="s">
        <v>47</v>
      </c>
      <c r="F20" s="108" t="s">
        <v>48</v>
      </c>
      <c r="G20" s="108" t="s">
        <v>70</v>
      </c>
      <c r="H20" s="108" t="s">
        <v>49</v>
      </c>
      <c r="I20" s="108"/>
      <c r="J20" s="108" t="s">
        <v>50</v>
      </c>
      <c r="K20" s="108"/>
      <c r="L20" s="108" t="s">
        <v>55</v>
      </c>
      <c r="M20" s="108" t="s">
        <v>56</v>
      </c>
    </row>
    <row r="21" spans="1:13" ht="45">
      <c r="A21" s="108"/>
      <c r="B21" s="108"/>
      <c r="C21" s="108"/>
      <c r="D21" s="108"/>
      <c r="E21" s="108"/>
      <c r="F21" s="108"/>
      <c r="G21" s="108"/>
      <c r="H21" s="15" t="s">
        <v>51</v>
      </c>
      <c r="I21" s="15" t="s">
        <v>52</v>
      </c>
      <c r="J21" s="15" t="s">
        <v>53</v>
      </c>
      <c r="K21" s="15" t="s">
        <v>54</v>
      </c>
      <c r="L21" s="108"/>
      <c r="M21" s="108"/>
    </row>
    <row r="22" spans="1:13" ht="127.5" customHeight="1">
      <c r="A22" s="15">
        <v>1</v>
      </c>
      <c r="B22" s="15" t="s">
        <v>38</v>
      </c>
      <c r="C22" s="15">
        <v>32</v>
      </c>
      <c r="D22" s="15">
        <v>18</v>
      </c>
      <c r="E22" s="16" t="s">
        <v>69</v>
      </c>
      <c r="F22" s="16">
        <v>20187923753</v>
      </c>
      <c r="G22" s="15" t="s">
        <v>71</v>
      </c>
      <c r="H22" s="15">
        <f>C22*D22</f>
        <v>576</v>
      </c>
      <c r="I22" s="15">
        <f>H22</f>
        <v>576</v>
      </c>
      <c r="J22" s="15">
        <f>ROUND(H22*1.51,0)</f>
        <v>870</v>
      </c>
      <c r="K22" s="15">
        <f>ROUND(I22*2.62,0)</f>
        <v>1509</v>
      </c>
      <c r="L22" s="15">
        <f>SUM(J22:K22)</f>
        <v>2379</v>
      </c>
      <c r="M22" s="15" t="s">
        <v>68</v>
      </c>
    </row>
    <row r="23" spans="1:13">
      <c r="A23" s="110" t="s">
        <v>59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5" spans="1:13">
      <c r="A25" s="107" t="s">
        <v>57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</row>
    <row r="26" spans="1:13" ht="23.25">
      <c r="A26" s="109" t="s">
        <v>58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</row>
    <row r="27" spans="1:13" s="14" customFormat="1">
      <c r="L27" s="14" t="s">
        <v>60</v>
      </c>
      <c r="M27" s="14" t="s">
        <v>64</v>
      </c>
    </row>
    <row r="28" spans="1:13" ht="63" customHeight="1">
      <c r="A28" s="108" t="s">
        <v>41</v>
      </c>
      <c r="B28" s="108" t="s">
        <v>45</v>
      </c>
      <c r="C28" s="108" t="s">
        <v>1</v>
      </c>
      <c r="D28" s="108" t="s">
        <v>46</v>
      </c>
      <c r="E28" s="108" t="s">
        <v>47</v>
      </c>
      <c r="F28" s="108" t="s">
        <v>48</v>
      </c>
      <c r="G28" s="108" t="s">
        <v>70</v>
      </c>
      <c r="H28" s="108" t="s">
        <v>49</v>
      </c>
      <c r="I28" s="108"/>
      <c r="J28" s="108" t="s">
        <v>50</v>
      </c>
      <c r="K28" s="108"/>
      <c r="L28" s="108" t="s">
        <v>55</v>
      </c>
      <c r="M28" s="108" t="s">
        <v>56</v>
      </c>
    </row>
    <row r="29" spans="1:13" ht="45">
      <c r="A29" s="108"/>
      <c r="B29" s="108"/>
      <c r="C29" s="108"/>
      <c r="D29" s="108"/>
      <c r="E29" s="108"/>
      <c r="F29" s="108"/>
      <c r="G29" s="108"/>
      <c r="H29" s="15" t="s">
        <v>51</v>
      </c>
      <c r="I29" s="15" t="s">
        <v>52</v>
      </c>
      <c r="J29" s="15" t="s">
        <v>53</v>
      </c>
      <c r="K29" s="15" t="s">
        <v>54</v>
      </c>
      <c r="L29" s="108"/>
      <c r="M29" s="108"/>
    </row>
    <row r="30" spans="1:13" ht="127.5" customHeight="1">
      <c r="A30" s="15">
        <v>1</v>
      </c>
      <c r="B30" s="15" t="s">
        <v>38</v>
      </c>
      <c r="C30" s="15">
        <v>32</v>
      </c>
      <c r="D30" s="15">
        <v>21</v>
      </c>
      <c r="E30" s="16" t="s">
        <v>69</v>
      </c>
      <c r="F30" s="16">
        <v>20187923753</v>
      </c>
      <c r="G30" s="15" t="s">
        <v>71</v>
      </c>
      <c r="H30" s="15">
        <f>C30*D30</f>
        <v>672</v>
      </c>
      <c r="I30" s="15">
        <f>H30</f>
        <v>672</v>
      </c>
      <c r="J30" s="15">
        <f>ROUND(H30*1.51,0)</f>
        <v>1015</v>
      </c>
      <c r="K30" s="15">
        <f>ROUND(I30*2.62,0)</f>
        <v>1761</v>
      </c>
      <c r="L30" s="15">
        <f>SUM(J30:K30)</f>
        <v>2776</v>
      </c>
      <c r="M30" s="15" t="s">
        <v>65</v>
      </c>
    </row>
    <row r="31" spans="1:13">
      <c r="A31" s="110" t="s">
        <v>59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</row>
    <row r="33" spans="1:13">
      <c r="A33" s="107" t="s">
        <v>57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</row>
    <row r="34" spans="1:13" ht="23.25">
      <c r="A34" s="109" t="s">
        <v>58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</row>
    <row r="35" spans="1:13" s="14" customFormat="1">
      <c r="L35" s="14" t="s">
        <v>60</v>
      </c>
      <c r="M35" s="14" t="s">
        <v>73</v>
      </c>
    </row>
    <row r="36" spans="1:13" ht="63" customHeight="1">
      <c r="A36" s="108" t="s">
        <v>41</v>
      </c>
      <c r="B36" s="108" t="s">
        <v>45</v>
      </c>
      <c r="C36" s="108" t="s">
        <v>1</v>
      </c>
      <c r="D36" s="108" t="s">
        <v>46</v>
      </c>
      <c r="E36" s="108" t="s">
        <v>47</v>
      </c>
      <c r="F36" s="108" t="s">
        <v>48</v>
      </c>
      <c r="G36" s="108" t="s">
        <v>70</v>
      </c>
      <c r="H36" s="108" t="s">
        <v>49</v>
      </c>
      <c r="I36" s="108"/>
      <c r="J36" s="108" t="s">
        <v>50</v>
      </c>
      <c r="K36" s="108"/>
      <c r="L36" s="108" t="s">
        <v>55</v>
      </c>
      <c r="M36" s="108" t="s">
        <v>56</v>
      </c>
    </row>
    <row r="37" spans="1:13" ht="45">
      <c r="A37" s="108"/>
      <c r="B37" s="108"/>
      <c r="C37" s="108"/>
      <c r="D37" s="108"/>
      <c r="E37" s="108"/>
      <c r="F37" s="108"/>
      <c r="G37" s="108"/>
      <c r="H37" s="17" t="s">
        <v>51</v>
      </c>
      <c r="I37" s="17" t="s">
        <v>52</v>
      </c>
      <c r="J37" s="17" t="s">
        <v>53</v>
      </c>
      <c r="K37" s="17" t="s">
        <v>54</v>
      </c>
      <c r="L37" s="108"/>
      <c r="M37" s="108"/>
    </row>
    <row r="38" spans="1:13" ht="127.5" customHeight="1">
      <c r="A38" s="17">
        <v>1</v>
      </c>
      <c r="B38" s="17" t="s">
        <v>38</v>
      </c>
      <c r="C38" s="17">
        <v>32</v>
      </c>
      <c r="D38" s="17">
        <v>11</v>
      </c>
      <c r="E38" s="16" t="s">
        <v>69</v>
      </c>
      <c r="F38" s="16">
        <v>20187923753</v>
      </c>
      <c r="G38" s="17" t="s">
        <v>71</v>
      </c>
      <c r="H38" s="17">
        <f>C38*D38</f>
        <v>352</v>
      </c>
      <c r="I38" s="17">
        <f>H38</f>
        <v>352</v>
      </c>
      <c r="J38" s="17">
        <f>ROUND(H38*1.51,0)</f>
        <v>532</v>
      </c>
      <c r="K38" s="17">
        <f>ROUND(I38*2.62,0)</f>
        <v>922</v>
      </c>
      <c r="L38" s="17">
        <f>SUM(J38:K38)</f>
        <v>1454</v>
      </c>
      <c r="M38" s="17" t="s">
        <v>65</v>
      </c>
    </row>
    <row r="39" spans="1:13">
      <c r="A39" s="110" t="s">
        <v>59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</row>
    <row r="41" spans="1:13">
      <c r="A41" s="107" t="s">
        <v>57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</row>
    <row r="42" spans="1:13" ht="23.25">
      <c r="A42" s="109" t="s">
        <v>58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</row>
    <row r="43" spans="1:13" s="14" customFormat="1">
      <c r="L43" s="14" t="s">
        <v>60</v>
      </c>
      <c r="M43" s="14" t="s">
        <v>72</v>
      </c>
    </row>
    <row r="44" spans="1:13" ht="63" customHeight="1">
      <c r="A44" s="108" t="s">
        <v>41</v>
      </c>
      <c r="B44" s="108" t="s">
        <v>45</v>
      </c>
      <c r="C44" s="108" t="s">
        <v>1</v>
      </c>
      <c r="D44" s="108" t="s">
        <v>46</v>
      </c>
      <c r="E44" s="108" t="s">
        <v>47</v>
      </c>
      <c r="F44" s="108" t="s">
        <v>48</v>
      </c>
      <c r="G44" s="108" t="s">
        <v>70</v>
      </c>
      <c r="H44" s="108" t="s">
        <v>49</v>
      </c>
      <c r="I44" s="108"/>
      <c r="J44" s="108" t="s">
        <v>50</v>
      </c>
      <c r="K44" s="108"/>
      <c r="L44" s="108" t="s">
        <v>55</v>
      </c>
      <c r="M44" s="108" t="s">
        <v>56</v>
      </c>
    </row>
    <row r="45" spans="1:13" ht="45">
      <c r="A45" s="108"/>
      <c r="B45" s="108"/>
      <c r="C45" s="108"/>
      <c r="D45" s="108"/>
      <c r="E45" s="108"/>
      <c r="F45" s="108"/>
      <c r="G45" s="108"/>
      <c r="H45" s="17" t="s">
        <v>51</v>
      </c>
      <c r="I45" s="17" t="s">
        <v>52</v>
      </c>
      <c r="J45" s="17" t="s">
        <v>53</v>
      </c>
      <c r="K45" s="17" t="s">
        <v>54</v>
      </c>
      <c r="L45" s="108"/>
      <c r="M45" s="108"/>
    </row>
    <row r="46" spans="1:13" ht="127.5" customHeight="1">
      <c r="A46" s="17">
        <v>1</v>
      </c>
      <c r="B46" s="17" t="s">
        <v>38</v>
      </c>
      <c r="C46" s="17">
        <v>32</v>
      </c>
      <c r="D46" s="17">
        <v>21</v>
      </c>
      <c r="E46" s="16" t="s">
        <v>69</v>
      </c>
      <c r="F46" s="16">
        <v>20187923753</v>
      </c>
      <c r="G46" s="17" t="s">
        <v>71</v>
      </c>
      <c r="H46" s="17">
        <f>C46*D46</f>
        <v>672</v>
      </c>
      <c r="I46" s="17">
        <f>H46</f>
        <v>672</v>
      </c>
      <c r="J46" s="17">
        <f>ROUND(H46*1.51,0)</f>
        <v>1015</v>
      </c>
      <c r="K46" s="17">
        <f>ROUND(I46*2.62,0)</f>
        <v>1761</v>
      </c>
      <c r="L46" s="17">
        <f>SUM(J46:K46)</f>
        <v>2776</v>
      </c>
      <c r="M46" s="17" t="s">
        <v>74</v>
      </c>
    </row>
    <row r="47" spans="1:13">
      <c r="A47" s="110" t="s">
        <v>59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</row>
  </sheetData>
  <mergeCells count="84">
    <mergeCell ref="D44:D45"/>
    <mergeCell ref="A42:M42"/>
    <mergeCell ref="E44:E45"/>
    <mergeCell ref="G44:G45"/>
    <mergeCell ref="H44:I44"/>
    <mergeCell ref="J44:K44"/>
    <mergeCell ref="B12:B13"/>
    <mergeCell ref="B20:B21"/>
    <mergeCell ref="H12:I12"/>
    <mergeCell ref="C36:C37"/>
    <mergeCell ref="A18:M18"/>
    <mergeCell ref="M28:M29"/>
    <mergeCell ref="A23:M23"/>
    <mergeCell ref="A34:M34"/>
    <mergeCell ref="J36:K36"/>
    <mergeCell ref="B36:B37"/>
    <mergeCell ref="H20:I20"/>
    <mergeCell ref="A33:M33"/>
    <mergeCell ref="F28:F29"/>
    <mergeCell ref="L28:L29"/>
    <mergeCell ref="C28:C29"/>
    <mergeCell ref="A26:M26"/>
    <mergeCell ref="A36:A37"/>
    <mergeCell ref="L20:L21"/>
    <mergeCell ref="C20:C21"/>
    <mergeCell ref="A31:M31"/>
    <mergeCell ref="J20:K20"/>
    <mergeCell ref="H28:I28"/>
    <mergeCell ref="J28:K28"/>
    <mergeCell ref="B28:B29"/>
    <mergeCell ref="A28:A29"/>
    <mergeCell ref="G20:G21"/>
    <mergeCell ref="D20:D21"/>
    <mergeCell ref="G28:G29"/>
    <mergeCell ref="D28:D29"/>
    <mergeCell ref="E28:E29"/>
    <mergeCell ref="A47:M47"/>
    <mergeCell ref="M36:M37"/>
    <mergeCell ref="D36:D37"/>
    <mergeCell ref="E36:E37"/>
    <mergeCell ref="F36:F37"/>
    <mergeCell ref="G36:G37"/>
    <mergeCell ref="L36:L37"/>
    <mergeCell ref="A41:M41"/>
    <mergeCell ref="A44:A45"/>
    <mergeCell ref="C44:C45"/>
    <mergeCell ref="B44:B45"/>
    <mergeCell ref="H36:I36"/>
    <mergeCell ref="A39:M39"/>
    <mergeCell ref="F44:F45"/>
    <mergeCell ref="L44:L45"/>
    <mergeCell ref="M44:M45"/>
    <mergeCell ref="H4:I4"/>
    <mergeCell ref="A20:A21"/>
    <mergeCell ref="L12:L13"/>
    <mergeCell ref="E12:E13"/>
    <mergeCell ref="A15:M15"/>
    <mergeCell ref="J12:K12"/>
    <mergeCell ref="E20:E21"/>
    <mergeCell ref="M4:M5"/>
    <mergeCell ref="D12:D13"/>
    <mergeCell ref="F20:F21"/>
    <mergeCell ref="G12:G13"/>
    <mergeCell ref="M20:M21"/>
    <mergeCell ref="A17:M17"/>
    <mergeCell ref="M12:M13"/>
    <mergeCell ref="A12:A13"/>
    <mergeCell ref="C12:C13"/>
    <mergeCell ref="A1:M1"/>
    <mergeCell ref="A25:M25"/>
    <mergeCell ref="F12:F13"/>
    <mergeCell ref="J4:K4"/>
    <mergeCell ref="A9:M9"/>
    <mergeCell ref="E4:E5"/>
    <mergeCell ref="A10:M10"/>
    <mergeCell ref="A4:A5"/>
    <mergeCell ref="A2:M2"/>
    <mergeCell ref="A7:M7"/>
    <mergeCell ref="L4:L5"/>
    <mergeCell ref="F4:F5"/>
    <mergeCell ref="G4:G5"/>
    <mergeCell ref="D4:D5"/>
    <mergeCell ref="C4:C5"/>
    <mergeCell ref="B4:B5"/>
  </mergeCells>
  <printOptions horizontalCentered="1"/>
  <pageMargins left="0.59055118110236227" right="0.19685039370078741" top="0.39370078740157483" bottom="0.55118110236220474" header="0.31496062992125984" footer="0.31496062992125984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"/>
  <sheetViews>
    <sheetView workbookViewId="0">
      <selection activeCell="D9" sqref="D9"/>
    </sheetView>
  </sheetViews>
  <sheetFormatPr defaultColWidth="9" defaultRowHeight="20.25"/>
  <cols>
    <col min="1" max="1" width="7.1640625" style="7" customWidth="1"/>
    <col min="2" max="2" width="14.83203125" style="7" customWidth="1"/>
    <col min="3" max="3" width="18.5" style="18" customWidth="1"/>
    <col min="4" max="4" width="19.58203125" style="7" customWidth="1"/>
    <col min="5" max="5" width="8.1640625" style="7" customWidth="1"/>
    <col min="6" max="6" width="13.5" style="7" customWidth="1"/>
    <col min="7" max="7" width="12.08203125" style="7" customWidth="1"/>
    <col min="8" max="8" width="8.83203125" style="7" customWidth="1"/>
    <col min="9" max="9" width="13.4140625" style="7" customWidth="1"/>
    <col min="10" max="256" width="8.83203125" style="7" customWidth="1"/>
  </cols>
  <sheetData>
    <row r="1" spans="1:9">
      <c r="A1" s="112" t="s">
        <v>57</v>
      </c>
      <c r="B1" s="112"/>
      <c r="C1" s="112"/>
      <c r="D1" s="112"/>
      <c r="E1" s="112"/>
      <c r="F1" s="112"/>
      <c r="G1" s="112"/>
      <c r="H1" s="112"/>
      <c r="I1" s="112"/>
    </row>
    <row r="2" spans="1:9" ht="23.25">
      <c r="A2" s="97" t="s">
        <v>83</v>
      </c>
      <c r="B2" s="97"/>
      <c r="C2" s="97"/>
      <c r="D2" s="97"/>
      <c r="E2" s="97"/>
      <c r="F2" s="97"/>
      <c r="G2" s="97"/>
      <c r="H2" s="97"/>
      <c r="I2" s="97"/>
    </row>
    <row r="3" spans="1:9" s="19" customFormat="1">
      <c r="I3" s="19" t="s">
        <v>86</v>
      </c>
    </row>
    <row r="4" spans="1:9" ht="63" customHeight="1">
      <c r="A4" s="8" t="s">
        <v>41</v>
      </c>
      <c r="B4" s="8" t="s">
        <v>45</v>
      </c>
      <c r="C4" s="8" t="s">
        <v>75</v>
      </c>
      <c r="D4" s="8" t="s">
        <v>70</v>
      </c>
      <c r="E4" s="8" t="s">
        <v>76</v>
      </c>
      <c r="F4" s="8" t="s">
        <v>48</v>
      </c>
      <c r="G4" s="8" t="s">
        <v>47</v>
      </c>
      <c r="H4" s="8" t="s">
        <v>79</v>
      </c>
      <c r="I4" s="8" t="s">
        <v>44</v>
      </c>
    </row>
    <row r="5" spans="1:9" ht="30">
      <c r="A5" s="8">
        <v>1</v>
      </c>
      <c r="B5" s="111" t="s">
        <v>38</v>
      </c>
      <c r="C5" s="8" t="s">
        <v>84</v>
      </c>
      <c r="D5" s="8" t="s">
        <v>77</v>
      </c>
      <c r="E5" s="20" t="s">
        <v>78</v>
      </c>
      <c r="F5" s="21" t="s">
        <v>80</v>
      </c>
      <c r="G5" s="8" t="s">
        <v>82</v>
      </c>
      <c r="H5" s="8">
        <v>1000</v>
      </c>
      <c r="I5" s="8"/>
    </row>
    <row r="6" spans="1:9" ht="30">
      <c r="A6" s="8">
        <v>2</v>
      </c>
      <c r="B6" s="111"/>
      <c r="C6" s="8" t="s">
        <v>85</v>
      </c>
      <c r="D6" s="8" t="s">
        <v>77</v>
      </c>
      <c r="E6" s="20" t="s">
        <v>78</v>
      </c>
      <c r="F6" s="21" t="s">
        <v>81</v>
      </c>
      <c r="G6" s="8" t="s">
        <v>82</v>
      </c>
      <c r="H6" s="8">
        <v>1000</v>
      </c>
      <c r="I6" s="8"/>
    </row>
  </sheetData>
  <mergeCells count="3">
    <mergeCell ref="B5:B6"/>
    <mergeCell ref="A1:I1"/>
    <mergeCell ref="A2:I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tabSelected="1" zoomScale="90" zoomScaleNormal="90" workbookViewId="0">
      <pane xSplit="6" ySplit="6" topLeftCell="G34" activePane="bottomRight" state="frozen"/>
      <selection pane="topRight" activeCell="G1" sqref="G1"/>
      <selection pane="bottomLeft" activeCell="A7" sqref="A7"/>
      <selection pane="bottomRight" activeCell="AB6" sqref="AB6"/>
    </sheetView>
  </sheetViews>
  <sheetFormatPr defaultRowHeight="15"/>
  <cols>
    <col min="1" max="1" width="5.08203125" style="39" customWidth="1"/>
    <col min="2" max="2" width="8.6640625" style="39"/>
    <col min="3" max="3" width="4.1640625" style="39" customWidth="1"/>
    <col min="4" max="4" width="8.6640625" style="39"/>
    <col min="5" max="5" width="6.08203125" style="39" bestFit="1" customWidth="1"/>
    <col min="6" max="6" width="5.58203125" style="39" customWidth="1"/>
    <col min="7" max="9" width="6.58203125" style="23" customWidth="1"/>
    <col min="10" max="10" width="7" style="23" hidden="1" customWidth="1"/>
    <col min="11" max="13" width="7" style="23" customWidth="1"/>
    <col min="14" max="14" width="6.58203125" style="23" hidden="1" customWidth="1"/>
    <col min="15" max="17" width="7" style="23" customWidth="1"/>
    <col min="18" max="18" width="7" style="23" hidden="1" customWidth="1"/>
    <col min="19" max="21" width="7" style="23" customWidth="1"/>
    <col min="22" max="22" width="6.58203125" style="57" customWidth="1"/>
    <col min="23" max="259" width="8.6640625" style="23"/>
    <col min="260" max="260" width="4.1640625" style="23" customWidth="1"/>
    <col min="261" max="265" width="8.6640625" style="23"/>
    <col min="266" max="266" width="0" style="23" hidden="1" customWidth="1"/>
    <col min="267" max="267" width="8.6640625" style="23"/>
    <col min="268" max="269" width="0" style="23" hidden="1" customWidth="1"/>
    <col min="270" max="515" width="8.6640625" style="23"/>
    <col min="516" max="516" width="4.1640625" style="23" customWidth="1"/>
    <col min="517" max="521" width="8.6640625" style="23"/>
    <col min="522" max="522" width="0" style="23" hidden="1" customWidth="1"/>
    <col min="523" max="523" width="8.6640625" style="23"/>
    <col min="524" max="525" width="0" style="23" hidden="1" customWidth="1"/>
    <col min="526" max="771" width="8.6640625" style="23"/>
    <col min="772" max="772" width="4.1640625" style="23" customWidth="1"/>
    <col min="773" max="777" width="8.6640625" style="23"/>
    <col min="778" max="778" width="0" style="23" hidden="1" customWidth="1"/>
    <col min="779" max="779" width="8.6640625" style="23"/>
    <col min="780" max="781" width="0" style="23" hidden="1" customWidth="1"/>
    <col min="782" max="1027" width="8.6640625" style="23"/>
    <col min="1028" max="1028" width="4.1640625" style="23" customWidth="1"/>
    <col min="1029" max="1033" width="8.6640625" style="23"/>
    <col min="1034" max="1034" width="0" style="23" hidden="1" customWidth="1"/>
    <col min="1035" max="1035" width="8.6640625" style="23"/>
    <col min="1036" max="1037" width="0" style="23" hidden="1" customWidth="1"/>
    <col min="1038" max="1283" width="8.6640625" style="23"/>
    <col min="1284" max="1284" width="4.1640625" style="23" customWidth="1"/>
    <col min="1285" max="1289" width="8.6640625" style="23"/>
    <col min="1290" max="1290" width="0" style="23" hidden="1" customWidth="1"/>
    <col min="1291" max="1291" width="8.6640625" style="23"/>
    <col min="1292" max="1293" width="0" style="23" hidden="1" customWidth="1"/>
    <col min="1294" max="1539" width="8.6640625" style="23"/>
    <col min="1540" max="1540" width="4.1640625" style="23" customWidth="1"/>
    <col min="1541" max="1545" width="8.6640625" style="23"/>
    <col min="1546" max="1546" width="0" style="23" hidden="1" customWidth="1"/>
    <col min="1547" max="1547" width="8.6640625" style="23"/>
    <col min="1548" max="1549" width="0" style="23" hidden="1" customWidth="1"/>
    <col min="1550" max="1795" width="8.6640625" style="23"/>
    <col min="1796" max="1796" width="4.1640625" style="23" customWidth="1"/>
    <col min="1797" max="1801" width="8.6640625" style="23"/>
    <col min="1802" max="1802" width="0" style="23" hidden="1" customWidth="1"/>
    <col min="1803" max="1803" width="8.6640625" style="23"/>
    <col min="1804" max="1805" width="0" style="23" hidden="1" customWidth="1"/>
    <col min="1806" max="2051" width="8.6640625" style="23"/>
    <col min="2052" max="2052" width="4.1640625" style="23" customWidth="1"/>
    <col min="2053" max="2057" width="8.6640625" style="23"/>
    <col min="2058" max="2058" width="0" style="23" hidden="1" customWidth="1"/>
    <col min="2059" max="2059" width="8.6640625" style="23"/>
    <col min="2060" max="2061" width="0" style="23" hidden="1" customWidth="1"/>
    <col min="2062" max="2307" width="8.6640625" style="23"/>
    <col min="2308" max="2308" width="4.1640625" style="23" customWidth="1"/>
    <col min="2309" max="2313" width="8.6640625" style="23"/>
    <col min="2314" max="2314" width="0" style="23" hidden="1" customWidth="1"/>
    <col min="2315" max="2315" width="8.6640625" style="23"/>
    <col min="2316" max="2317" width="0" style="23" hidden="1" customWidth="1"/>
    <col min="2318" max="2563" width="8.6640625" style="23"/>
    <col min="2564" max="2564" width="4.1640625" style="23" customWidth="1"/>
    <col min="2565" max="2569" width="8.6640625" style="23"/>
    <col min="2570" max="2570" width="0" style="23" hidden="1" customWidth="1"/>
    <col min="2571" max="2571" width="8.6640625" style="23"/>
    <col min="2572" max="2573" width="0" style="23" hidden="1" customWidth="1"/>
    <col min="2574" max="2819" width="8.6640625" style="23"/>
    <col min="2820" max="2820" width="4.1640625" style="23" customWidth="1"/>
    <col min="2821" max="2825" width="8.6640625" style="23"/>
    <col min="2826" max="2826" width="0" style="23" hidden="1" customWidth="1"/>
    <col min="2827" max="2827" width="8.6640625" style="23"/>
    <col min="2828" max="2829" width="0" style="23" hidden="1" customWidth="1"/>
    <col min="2830" max="3075" width="8.6640625" style="23"/>
    <col min="3076" max="3076" width="4.1640625" style="23" customWidth="1"/>
    <col min="3077" max="3081" width="8.6640625" style="23"/>
    <col min="3082" max="3082" width="0" style="23" hidden="1" customWidth="1"/>
    <col min="3083" max="3083" width="8.6640625" style="23"/>
    <col min="3084" max="3085" width="0" style="23" hidden="1" customWidth="1"/>
    <col min="3086" max="3331" width="8.6640625" style="23"/>
    <col min="3332" max="3332" width="4.1640625" style="23" customWidth="1"/>
    <col min="3333" max="3337" width="8.6640625" style="23"/>
    <col min="3338" max="3338" width="0" style="23" hidden="1" customWidth="1"/>
    <col min="3339" max="3339" width="8.6640625" style="23"/>
    <col min="3340" max="3341" width="0" style="23" hidden="1" customWidth="1"/>
    <col min="3342" max="3587" width="8.6640625" style="23"/>
    <col min="3588" max="3588" width="4.1640625" style="23" customWidth="1"/>
    <col min="3589" max="3593" width="8.6640625" style="23"/>
    <col min="3594" max="3594" width="0" style="23" hidden="1" customWidth="1"/>
    <col min="3595" max="3595" width="8.6640625" style="23"/>
    <col min="3596" max="3597" width="0" style="23" hidden="1" customWidth="1"/>
    <col min="3598" max="3843" width="8.6640625" style="23"/>
    <col min="3844" max="3844" width="4.1640625" style="23" customWidth="1"/>
    <col min="3845" max="3849" width="8.6640625" style="23"/>
    <col min="3850" max="3850" width="0" style="23" hidden="1" customWidth="1"/>
    <col min="3851" max="3851" width="8.6640625" style="23"/>
    <col min="3852" max="3853" width="0" style="23" hidden="1" customWidth="1"/>
    <col min="3854" max="4099" width="8.6640625" style="23"/>
    <col min="4100" max="4100" width="4.1640625" style="23" customWidth="1"/>
    <col min="4101" max="4105" width="8.6640625" style="23"/>
    <col min="4106" max="4106" width="0" style="23" hidden="1" customWidth="1"/>
    <col min="4107" max="4107" width="8.6640625" style="23"/>
    <col min="4108" max="4109" width="0" style="23" hidden="1" customWidth="1"/>
    <col min="4110" max="4355" width="8.6640625" style="23"/>
    <col min="4356" max="4356" width="4.1640625" style="23" customWidth="1"/>
    <col min="4357" max="4361" width="8.6640625" style="23"/>
    <col min="4362" max="4362" width="0" style="23" hidden="1" customWidth="1"/>
    <col min="4363" max="4363" width="8.6640625" style="23"/>
    <col min="4364" max="4365" width="0" style="23" hidden="1" customWidth="1"/>
    <col min="4366" max="4611" width="8.6640625" style="23"/>
    <col min="4612" max="4612" width="4.1640625" style="23" customWidth="1"/>
    <col min="4613" max="4617" width="8.6640625" style="23"/>
    <col min="4618" max="4618" width="0" style="23" hidden="1" customWidth="1"/>
    <col min="4619" max="4619" width="8.6640625" style="23"/>
    <col min="4620" max="4621" width="0" style="23" hidden="1" customWidth="1"/>
    <col min="4622" max="4867" width="8.6640625" style="23"/>
    <col min="4868" max="4868" width="4.1640625" style="23" customWidth="1"/>
    <col min="4869" max="4873" width="8.6640625" style="23"/>
    <col min="4874" max="4874" width="0" style="23" hidden="1" customWidth="1"/>
    <col min="4875" max="4875" width="8.6640625" style="23"/>
    <col min="4876" max="4877" width="0" style="23" hidden="1" customWidth="1"/>
    <col min="4878" max="5123" width="8.6640625" style="23"/>
    <col min="5124" max="5124" width="4.1640625" style="23" customWidth="1"/>
    <col min="5125" max="5129" width="8.6640625" style="23"/>
    <col min="5130" max="5130" width="0" style="23" hidden="1" customWidth="1"/>
    <col min="5131" max="5131" width="8.6640625" style="23"/>
    <col min="5132" max="5133" width="0" style="23" hidden="1" customWidth="1"/>
    <col min="5134" max="5379" width="8.6640625" style="23"/>
    <col min="5380" max="5380" width="4.1640625" style="23" customWidth="1"/>
    <col min="5381" max="5385" width="8.6640625" style="23"/>
    <col min="5386" max="5386" width="0" style="23" hidden="1" customWidth="1"/>
    <col min="5387" max="5387" width="8.6640625" style="23"/>
    <col min="5388" max="5389" width="0" style="23" hidden="1" customWidth="1"/>
    <col min="5390" max="5635" width="8.6640625" style="23"/>
    <col min="5636" max="5636" width="4.1640625" style="23" customWidth="1"/>
    <col min="5637" max="5641" width="8.6640625" style="23"/>
    <col min="5642" max="5642" width="0" style="23" hidden="1" customWidth="1"/>
    <col min="5643" max="5643" width="8.6640625" style="23"/>
    <col min="5644" max="5645" width="0" style="23" hidden="1" customWidth="1"/>
    <col min="5646" max="5891" width="8.6640625" style="23"/>
    <col min="5892" max="5892" width="4.1640625" style="23" customWidth="1"/>
    <col min="5893" max="5897" width="8.6640625" style="23"/>
    <col min="5898" max="5898" width="0" style="23" hidden="1" customWidth="1"/>
    <col min="5899" max="5899" width="8.6640625" style="23"/>
    <col min="5900" max="5901" width="0" style="23" hidden="1" customWidth="1"/>
    <col min="5902" max="6147" width="8.6640625" style="23"/>
    <col min="6148" max="6148" width="4.1640625" style="23" customWidth="1"/>
    <col min="6149" max="6153" width="8.6640625" style="23"/>
    <col min="6154" max="6154" width="0" style="23" hidden="1" customWidth="1"/>
    <col min="6155" max="6155" width="8.6640625" style="23"/>
    <col min="6156" max="6157" width="0" style="23" hidden="1" customWidth="1"/>
    <col min="6158" max="6403" width="8.6640625" style="23"/>
    <col min="6404" max="6404" width="4.1640625" style="23" customWidth="1"/>
    <col min="6405" max="6409" width="8.6640625" style="23"/>
    <col min="6410" max="6410" width="0" style="23" hidden="1" customWidth="1"/>
    <col min="6411" max="6411" width="8.6640625" style="23"/>
    <col min="6412" max="6413" width="0" style="23" hidden="1" customWidth="1"/>
    <col min="6414" max="6659" width="8.6640625" style="23"/>
    <col min="6660" max="6660" width="4.1640625" style="23" customWidth="1"/>
    <col min="6661" max="6665" width="8.6640625" style="23"/>
    <col min="6666" max="6666" width="0" style="23" hidden="1" customWidth="1"/>
    <col min="6667" max="6667" width="8.6640625" style="23"/>
    <col min="6668" max="6669" width="0" style="23" hidden="1" customWidth="1"/>
    <col min="6670" max="6915" width="8.6640625" style="23"/>
    <col min="6916" max="6916" width="4.1640625" style="23" customWidth="1"/>
    <col min="6917" max="6921" width="8.6640625" style="23"/>
    <col min="6922" max="6922" width="0" style="23" hidden="1" customWidth="1"/>
    <col min="6923" max="6923" width="8.6640625" style="23"/>
    <col min="6924" max="6925" width="0" style="23" hidden="1" customWidth="1"/>
    <col min="6926" max="7171" width="8.6640625" style="23"/>
    <col min="7172" max="7172" width="4.1640625" style="23" customWidth="1"/>
    <col min="7173" max="7177" width="8.6640625" style="23"/>
    <col min="7178" max="7178" width="0" style="23" hidden="1" customWidth="1"/>
    <col min="7179" max="7179" width="8.6640625" style="23"/>
    <col min="7180" max="7181" width="0" style="23" hidden="1" customWidth="1"/>
    <col min="7182" max="7427" width="8.6640625" style="23"/>
    <col min="7428" max="7428" width="4.1640625" style="23" customWidth="1"/>
    <col min="7429" max="7433" width="8.6640625" style="23"/>
    <col min="7434" max="7434" width="0" style="23" hidden="1" customWidth="1"/>
    <col min="7435" max="7435" width="8.6640625" style="23"/>
    <col min="7436" max="7437" width="0" style="23" hidden="1" customWidth="1"/>
    <col min="7438" max="7683" width="8.6640625" style="23"/>
    <col min="7684" max="7684" width="4.1640625" style="23" customWidth="1"/>
    <col min="7685" max="7689" width="8.6640625" style="23"/>
    <col min="7690" max="7690" width="0" style="23" hidden="1" customWidth="1"/>
    <col min="7691" max="7691" width="8.6640625" style="23"/>
    <col min="7692" max="7693" width="0" style="23" hidden="1" customWidth="1"/>
    <col min="7694" max="7939" width="8.6640625" style="23"/>
    <col min="7940" max="7940" width="4.1640625" style="23" customWidth="1"/>
    <col min="7941" max="7945" width="8.6640625" style="23"/>
    <col min="7946" max="7946" width="0" style="23" hidden="1" customWidth="1"/>
    <col min="7947" max="7947" width="8.6640625" style="23"/>
    <col min="7948" max="7949" width="0" style="23" hidden="1" customWidth="1"/>
    <col min="7950" max="8195" width="8.6640625" style="23"/>
    <col min="8196" max="8196" width="4.1640625" style="23" customWidth="1"/>
    <col min="8197" max="8201" width="8.6640625" style="23"/>
    <col min="8202" max="8202" width="0" style="23" hidden="1" customWidth="1"/>
    <col min="8203" max="8203" width="8.6640625" style="23"/>
    <col min="8204" max="8205" width="0" style="23" hidden="1" customWidth="1"/>
    <col min="8206" max="8451" width="8.6640625" style="23"/>
    <col min="8452" max="8452" width="4.1640625" style="23" customWidth="1"/>
    <col min="8453" max="8457" width="8.6640625" style="23"/>
    <col min="8458" max="8458" width="0" style="23" hidden="1" customWidth="1"/>
    <col min="8459" max="8459" width="8.6640625" style="23"/>
    <col min="8460" max="8461" width="0" style="23" hidden="1" customWidth="1"/>
    <col min="8462" max="8707" width="8.6640625" style="23"/>
    <col min="8708" max="8708" width="4.1640625" style="23" customWidth="1"/>
    <col min="8709" max="8713" width="8.6640625" style="23"/>
    <col min="8714" max="8714" width="0" style="23" hidden="1" customWidth="1"/>
    <col min="8715" max="8715" width="8.6640625" style="23"/>
    <col min="8716" max="8717" width="0" style="23" hidden="1" customWidth="1"/>
    <col min="8718" max="8963" width="8.6640625" style="23"/>
    <col min="8964" max="8964" width="4.1640625" style="23" customWidth="1"/>
    <col min="8965" max="8969" width="8.6640625" style="23"/>
    <col min="8970" max="8970" width="0" style="23" hidden="1" customWidth="1"/>
    <col min="8971" max="8971" width="8.6640625" style="23"/>
    <col min="8972" max="8973" width="0" style="23" hidden="1" customWidth="1"/>
    <col min="8974" max="9219" width="8.6640625" style="23"/>
    <col min="9220" max="9220" width="4.1640625" style="23" customWidth="1"/>
    <col min="9221" max="9225" width="8.6640625" style="23"/>
    <col min="9226" max="9226" width="0" style="23" hidden="1" customWidth="1"/>
    <col min="9227" max="9227" width="8.6640625" style="23"/>
    <col min="9228" max="9229" width="0" style="23" hidden="1" customWidth="1"/>
    <col min="9230" max="9475" width="8.6640625" style="23"/>
    <col min="9476" max="9476" width="4.1640625" style="23" customWidth="1"/>
    <col min="9477" max="9481" width="8.6640625" style="23"/>
    <col min="9482" max="9482" width="0" style="23" hidden="1" customWidth="1"/>
    <col min="9483" max="9483" width="8.6640625" style="23"/>
    <col min="9484" max="9485" width="0" style="23" hidden="1" customWidth="1"/>
    <col min="9486" max="9731" width="8.6640625" style="23"/>
    <col min="9732" max="9732" width="4.1640625" style="23" customWidth="1"/>
    <col min="9733" max="9737" width="8.6640625" style="23"/>
    <col min="9738" max="9738" width="0" style="23" hidden="1" customWidth="1"/>
    <col min="9739" max="9739" width="8.6640625" style="23"/>
    <col min="9740" max="9741" width="0" style="23" hidden="1" customWidth="1"/>
    <col min="9742" max="9987" width="8.6640625" style="23"/>
    <col min="9988" max="9988" width="4.1640625" style="23" customWidth="1"/>
    <col min="9989" max="9993" width="8.6640625" style="23"/>
    <col min="9994" max="9994" width="0" style="23" hidden="1" customWidth="1"/>
    <col min="9995" max="9995" width="8.6640625" style="23"/>
    <col min="9996" max="9997" width="0" style="23" hidden="1" customWidth="1"/>
    <col min="9998" max="10243" width="8.6640625" style="23"/>
    <col min="10244" max="10244" width="4.1640625" style="23" customWidth="1"/>
    <col min="10245" max="10249" width="8.6640625" style="23"/>
    <col min="10250" max="10250" width="0" style="23" hidden="1" customWidth="1"/>
    <col min="10251" max="10251" width="8.6640625" style="23"/>
    <col min="10252" max="10253" width="0" style="23" hidden="1" customWidth="1"/>
    <col min="10254" max="10499" width="8.6640625" style="23"/>
    <col min="10500" max="10500" width="4.1640625" style="23" customWidth="1"/>
    <col min="10501" max="10505" width="8.6640625" style="23"/>
    <col min="10506" max="10506" width="0" style="23" hidden="1" customWidth="1"/>
    <col min="10507" max="10507" width="8.6640625" style="23"/>
    <col min="10508" max="10509" width="0" style="23" hidden="1" customWidth="1"/>
    <col min="10510" max="10755" width="8.6640625" style="23"/>
    <col min="10756" max="10756" width="4.1640625" style="23" customWidth="1"/>
    <col min="10757" max="10761" width="8.6640625" style="23"/>
    <col min="10762" max="10762" width="0" style="23" hidden="1" customWidth="1"/>
    <col min="10763" max="10763" width="8.6640625" style="23"/>
    <col min="10764" max="10765" width="0" style="23" hidden="1" customWidth="1"/>
    <col min="10766" max="11011" width="8.6640625" style="23"/>
    <col min="11012" max="11012" width="4.1640625" style="23" customWidth="1"/>
    <col min="11013" max="11017" width="8.6640625" style="23"/>
    <col min="11018" max="11018" width="0" style="23" hidden="1" customWidth="1"/>
    <col min="11019" max="11019" width="8.6640625" style="23"/>
    <col min="11020" max="11021" width="0" style="23" hidden="1" customWidth="1"/>
    <col min="11022" max="11267" width="8.6640625" style="23"/>
    <col min="11268" max="11268" width="4.1640625" style="23" customWidth="1"/>
    <col min="11269" max="11273" width="8.6640625" style="23"/>
    <col min="11274" max="11274" width="0" style="23" hidden="1" customWidth="1"/>
    <col min="11275" max="11275" width="8.6640625" style="23"/>
    <col min="11276" max="11277" width="0" style="23" hidden="1" customWidth="1"/>
    <col min="11278" max="11523" width="8.6640625" style="23"/>
    <col min="11524" max="11524" width="4.1640625" style="23" customWidth="1"/>
    <col min="11525" max="11529" width="8.6640625" style="23"/>
    <col min="11530" max="11530" width="0" style="23" hidden="1" customWidth="1"/>
    <col min="11531" max="11531" width="8.6640625" style="23"/>
    <col min="11532" max="11533" width="0" style="23" hidden="1" customWidth="1"/>
    <col min="11534" max="11779" width="8.6640625" style="23"/>
    <col min="11780" max="11780" width="4.1640625" style="23" customWidth="1"/>
    <col min="11781" max="11785" width="8.6640625" style="23"/>
    <col min="11786" max="11786" width="0" style="23" hidden="1" customWidth="1"/>
    <col min="11787" max="11787" width="8.6640625" style="23"/>
    <col min="11788" max="11789" width="0" style="23" hidden="1" customWidth="1"/>
    <col min="11790" max="12035" width="8.6640625" style="23"/>
    <col min="12036" max="12036" width="4.1640625" style="23" customWidth="1"/>
    <col min="12037" max="12041" width="8.6640625" style="23"/>
    <col min="12042" max="12042" width="0" style="23" hidden="1" customWidth="1"/>
    <col min="12043" max="12043" width="8.6640625" style="23"/>
    <col min="12044" max="12045" width="0" style="23" hidden="1" customWidth="1"/>
    <col min="12046" max="12291" width="8.6640625" style="23"/>
    <col min="12292" max="12292" width="4.1640625" style="23" customWidth="1"/>
    <col min="12293" max="12297" width="8.6640625" style="23"/>
    <col min="12298" max="12298" width="0" style="23" hidden="1" customWidth="1"/>
    <col min="12299" max="12299" width="8.6640625" style="23"/>
    <col min="12300" max="12301" width="0" style="23" hidden="1" customWidth="1"/>
    <col min="12302" max="12547" width="8.6640625" style="23"/>
    <col min="12548" max="12548" width="4.1640625" style="23" customWidth="1"/>
    <col min="12549" max="12553" width="8.6640625" style="23"/>
    <col min="12554" max="12554" width="0" style="23" hidden="1" customWidth="1"/>
    <col min="12555" max="12555" width="8.6640625" style="23"/>
    <col min="12556" max="12557" width="0" style="23" hidden="1" customWidth="1"/>
    <col min="12558" max="12803" width="8.6640625" style="23"/>
    <col min="12804" max="12804" width="4.1640625" style="23" customWidth="1"/>
    <col min="12805" max="12809" width="8.6640625" style="23"/>
    <col min="12810" max="12810" width="0" style="23" hidden="1" customWidth="1"/>
    <col min="12811" max="12811" width="8.6640625" style="23"/>
    <col min="12812" max="12813" width="0" style="23" hidden="1" customWidth="1"/>
    <col min="12814" max="13059" width="8.6640625" style="23"/>
    <col min="13060" max="13060" width="4.1640625" style="23" customWidth="1"/>
    <col min="13061" max="13065" width="8.6640625" style="23"/>
    <col min="13066" max="13066" width="0" style="23" hidden="1" customWidth="1"/>
    <col min="13067" max="13067" width="8.6640625" style="23"/>
    <col min="13068" max="13069" width="0" style="23" hidden="1" customWidth="1"/>
    <col min="13070" max="13315" width="8.6640625" style="23"/>
    <col min="13316" max="13316" width="4.1640625" style="23" customWidth="1"/>
    <col min="13317" max="13321" width="8.6640625" style="23"/>
    <col min="13322" max="13322" width="0" style="23" hidden="1" customWidth="1"/>
    <col min="13323" max="13323" width="8.6640625" style="23"/>
    <col min="13324" max="13325" width="0" style="23" hidden="1" customWidth="1"/>
    <col min="13326" max="13571" width="8.6640625" style="23"/>
    <col min="13572" max="13572" width="4.1640625" style="23" customWidth="1"/>
    <col min="13573" max="13577" width="8.6640625" style="23"/>
    <col min="13578" max="13578" width="0" style="23" hidden="1" customWidth="1"/>
    <col min="13579" max="13579" width="8.6640625" style="23"/>
    <col min="13580" max="13581" width="0" style="23" hidden="1" customWidth="1"/>
    <col min="13582" max="13827" width="8.6640625" style="23"/>
    <col min="13828" max="13828" width="4.1640625" style="23" customWidth="1"/>
    <col min="13829" max="13833" width="8.6640625" style="23"/>
    <col min="13834" max="13834" width="0" style="23" hidden="1" customWidth="1"/>
    <col min="13835" max="13835" width="8.6640625" style="23"/>
    <col min="13836" max="13837" width="0" style="23" hidden="1" customWidth="1"/>
    <col min="13838" max="14083" width="8.6640625" style="23"/>
    <col min="14084" max="14084" width="4.1640625" style="23" customWidth="1"/>
    <col min="14085" max="14089" width="8.6640625" style="23"/>
    <col min="14090" max="14090" width="0" style="23" hidden="1" customWidth="1"/>
    <col min="14091" max="14091" width="8.6640625" style="23"/>
    <col min="14092" max="14093" width="0" style="23" hidden="1" customWidth="1"/>
    <col min="14094" max="14339" width="8.6640625" style="23"/>
    <col min="14340" max="14340" width="4.1640625" style="23" customWidth="1"/>
    <col min="14341" max="14345" width="8.6640625" style="23"/>
    <col min="14346" max="14346" width="0" style="23" hidden="1" customWidth="1"/>
    <col min="14347" max="14347" width="8.6640625" style="23"/>
    <col min="14348" max="14349" width="0" style="23" hidden="1" customWidth="1"/>
    <col min="14350" max="14595" width="8.6640625" style="23"/>
    <col min="14596" max="14596" width="4.1640625" style="23" customWidth="1"/>
    <col min="14597" max="14601" width="8.6640625" style="23"/>
    <col min="14602" max="14602" width="0" style="23" hidden="1" customWidth="1"/>
    <col min="14603" max="14603" width="8.6640625" style="23"/>
    <col min="14604" max="14605" width="0" style="23" hidden="1" customWidth="1"/>
    <col min="14606" max="14851" width="8.6640625" style="23"/>
    <col min="14852" max="14852" width="4.1640625" style="23" customWidth="1"/>
    <col min="14853" max="14857" width="8.6640625" style="23"/>
    <col min="14858" max="14858" width="0" style="23" hidden="1" customWidth="1"/>
    <col min="14859" max="14859" width="8.6640625" style="23"/>
    <col min="14860" max="14861" width="0" style="23" hidden="1" customWidth="1"/>
    <col min="14862" max="15107" width="8.6640625" style="23"/>
    <col min="15108" max="15108" width="4.1640625" style="23" customWidth="1"/>
    <col min="15109" max="15113" width="8.6640625" style="23"/>
    <col min="15114" max="15114" width="0" style="23" hidden="1" customWidth="1"/>
    <col min="15115" max="15115" width="8.6640625" style="23"/>
    <col min="15116" max="15117" width="0" style="23" hidden="1" customWidth="1"/>
    <col min="15118" max="15363" width="8.6640625" style="23"/>
    <col min="15364" max="15364" width="4.1640625" style="23" customWidth="1"/>
    <col min="15365" max="15369" width="8.6640625" style="23"/>
    <col min="15370" max="15370" width="0" style="23" hidden="1" customWidth="1"/>
    <col min="15371" max="15371" width="8.6640625" style="23"/>
    <col min="15372" max="15373" width="0" style="23" hidden="1" customWidth="1"/>
    <col min="15374" max="15619" width="8.6640625" style="23"/>
    <col min="15620" max="15620" width="4.1640625" style="23" customWidth="1"/>
    <col min="15621" max="15625" width="8.6640625" style="23"/>
    <col min="15626" max="15626" width="0" style="23" hidden="1" customWidth="1"/>
    <col min="15627" max="15627" width="8.6640625" style="23"/>
    <col min="15628" max="15629" width="0" style="23" hidden="1" customWidth="1"/>
    <col min="15630" max="15875" width="8.6640625" style="23"/>
    <col min="15876" max="15876" width="4.1640625" style="23" customWidth="1"/>
    <col min="15877" max="15881" width="8.6640625" style="23"/>
    <col min="15882" max="15882" width="0" style="23" hidden="1" customWidth="1"/>
    <col min="15883" max="15883" width="8.6640625" style="23"/>
    <col min="15884" max="15885" width="0" style="23" hidden="1" customWidth="1"/>
    <col min="15886" max="16131" width="8.6640625" style="23"/>
    <col min="16132" max="16132" width="4.1640625" style="23" customWidth="1"/>
    <col min="16133" max="16137" width="8.6640625" style="23"/>
    <col min="16138" max="16138" width="0" style="23" hidden="1" customWidth="1"/>
    <col min="16139" max="16139" width="8.6640625" style="23"/>
    <col min="16140" max="16141" width="0" style="23" hidden="1" customWidth="1"/>
    <col min="16142" max="16384" width="8.6640625" style="23"/>
  </cols>
  <sheetData>
    <row r="1" spans="1:23" ht="23.25">
      <c r="A1" s="133" t="s">
        <v>110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</row>
    <row r="2" spans="1:23" s="25" customFormat="1" ht="28.5" customHeight="1">
      <c r="A2" s="135" t="s">
        <v>87</v>
      </c>
      <c r="B2" s="135"/>
      <c r="C2" s="134" t="s">
        <v>144</v>
      </c>
      <c r="D2" s="134"/>
      <c r="E2" s="134"/>
      <c r="F2" s="134"/>
      <c r="G2" s="134"/>
      <c r="H2" s="134"/>
      <c r="I2" s="52"/>
      <c r="J2" s="135" t="s">
        <v>143</v>
      </c>
      <c r="K2" s="135"/>
      <c r="L2" s="135"/>
      <c r="M2" s="135"/>
      <c r="N2" s="135"/>
      <c r="O2" s="136" t="s">
        <v>140</v>
      </c>
      <c r="P2" s="136"/>
      <c r="Q2" s="136"/>
      <c r="R2" s="135" t="s">
        <v>141</v>
      </c>
      <c r="S2" s="135"/>
      <c r="T2" s="135"/>
      <c r="U2" s="24" t="s">
        <v>88</v>
      </c>
      <c r="V2" s="135" t="s">
        <v>147</v>
      </c>
      <c r="W2" s="135"/>
    </row>
    <row r="3" spans="1:23" ht="21.75" customHeight="1">
      <c r="A3" s="113" t="s">
        <v>89</v>
      </c>
      <c r="B3" s="113" t="s">
        <v>90</v>
      </c>
      <c r="C3" s="113" t="s">
        <v>91</v>
      </c>
      <c r="D3" s="113" t="s">
        <v>92</v>
      </c>
      <c r="E3" s="137" t="s">
        <v>93</v>
      </c>
      <c r="F3" s="113" t="s">
        <v>2</v>
      </c>
      <c r="G3" s="114" t="s">
        <v>24</v>
      </c>
      <c r="H3" s="113" t="s">
        <v>132</v>
      </c>
      <c r="I3" s="113" t="s">
        <v>131</v>
      </c>
      <c r="J3" s="113" t="s">
        <v>27</v>
      </c>
      <c r="K3" s="113" t="s">
        <v>28</v>
      </c>
      <c r="L3" s="80"/>
      <c r="M3" s="113" t="s">
        <v>139</v>
      </c>
      <c r="N3" s="113" t="s">
        <v>29</v>
      </c>
      <c r="O3" s="113" t="s">
        <v>94</v>
      </c>
      <c r="P3" s="113"/>
      <c r="Q3" s="113"/>
      <c r="R3" s="113"/>
      <c r="S3" s="113"/>
      <c r="T3" s="113" t="s">
        <v>95</v>
      </c>
      <c r="U3" s="113" t="s">
        <v>36</v>
      </c>
      <c r="V3" s="116" t="s">
        <v>96</v>
      </c>
      <c r="W3" s="113" t="s">
        <v>44</v>
      </c>
    </row>
    <row r="4" spans="1:23" ht="30">
      <c r="A4" s="113"/>
      <c r="B4" s="113"/>
      <c r="C4" s="113"/>
      <c r="D4" s="113"/>
      <c r="E4" s="137"/>
      <c r="F4" s="113"/>
      <c r="G4" s="114"/>
      <c r="H4" s="113"/>
      <c r="I4" s="113"/>
      <c r="J4" s="113"/>
      <c r="K4" s="113"/>
      <c r="L4" s="80" t="s">
        <v>142</v>
      </c>
      <c r="M4" s="113"/>
      <c r="N4" s="113"/>
      <c r="O4" s="51" t="s">
        <v>32</v>
      </c>
      <c r="P4" s="51" t="s">
        <v>31</v>
      </c>
      <c r="Q4" s="51" t="s">
        <v>33</v>
      </c>
      <c r="R4" s="51" t="s">
        <v>97</v>
      </c>
      <c r="S4" s="51" t="s">
        <v>152</v>
      </c>
      <c r="T4" s="113"/>
      <c r="U4" s="113"/>
      <c r="V4" s="117"/>
      <c r="W4" s="113"/>
    </row>
    <row r="5" spans="1:23">
      <c r="A5" s="113"/>
      <c r="B5" s="113"/>
      <c r="C5" s="113"/>
      <c r="D5" s="113"/>
      <c r="E5" s="51" t="s">
        <v>98</v>
      </c>
      <c r="F5" s="113"/>
      <c r="G5" s="26">
        <v>0.1</v>
      </c>
      <c r="H5" s="26">
        <v>0.02</v>
      </c>
      <c r="I5" s="26">
        <v>0.02</v>
      </c>
      <c r="J5" s="26">
        <v>0.02</v>
      </c>
      <c r="K5" s="26">
        <v>0.02</v>
      </c>
      <c r="L5" s="26">
        <v>0.02</v>
      </c>
      <c r="M5" s="26">
        <v>0.02</v>
      </c>
      <c r="N5" s="26">
        <v>0.02</v>
      </c>
      <c r="O5" s="22">
        <v>1.4999999999999999E-4</v>
      </c>
      <c r="P5" s="22">
        <v>2.0000000000000001E-4</v>
      </c>
      <c r="Q5" s="22">
        <v>1.4999999999999999E-4</v>
      </c>
      <c r="R5" s="22">
        <v>3.0000000000000001E-3</v>
      </c>
      <c r="S5" s="22">
        <v>8.9999999999999998E-4</v>
      </c>
      <c r="T5" s="22">
        <v>5.0000000000000001E-3</v>
      </c>
      <c r="U5" s="22">
        <v>6.9999999999999999E-4</v>
      </c>
      <c r="V5" s="118"/>
      <c r="W5" s="113"/>
    </row>
    <row r="6" spans="1:23" s="28" customFormat="1" ht="15.75">
      <c r="A6" s="27">
        <v>1</v>
      </c>
      <c r="B6" s="27">
        <v>2</v>
      </c>
      <c r="C6" s="27">
        <v>3</v>
      </c>
      <c r="D6" s="27">
        <v>4</v>
      </c>
      <c r="E6" s="27">
        <v>5</v>
      </c>
      <c r="F6" s="27">
        <v>6</v>
      </c>
      <c r="G6" s="27">
        <v>7</v>
      </c>
      <c r="H6" s="27">
        <v>8</v>
      </c>
      <c r="I6" s="27"/>
      <c r="J6" s="27">
        <v>9</v>
      </c>
      <c r="K6" s="27">
        <v>10</v>
      </c>
      <c r="L6" s="27"/>
      <c r="M6" s="27">
        <v>10</v>
      </c>
      <c r="N6" s="27">
        <v>11</v>
      </c>
      <c r="O6" s="27">
        <v>12</v>
      </c>
      <c r="P6" s="27">
        <v>13</v>
      </c>
      <c r="Q6" s="27">
        <v>14</v>
      </c>
      <c r="R6" s="27">
        <v>15</v>
      </c>
      <c r="S6" s="27">
        <v>16</v>
      </c>
      <c r="T6" s="27">
        <v>17</v>
      </c>
      <c r="U6" s="27">
        <v>18</v>
      </c>
      <c r="V6" s="55">
        <v>19</v>
      </c>
      <c r="W6" s="27">
        <v>20</v>
      </c>
    </row>
    <row r="7" spans="1:23" s="28" customFormat="1" ht="15.75">
      <c r="A7" s="128"/>
      <c r="B7" s="129" t="s">
        <v>99</v>
      </c>
      <c r="C7" s="130"/>
      <c r="D7" s="130"/>
      <c r="E7" s="130"/>
      <c r="F7" s="131"/>
      <c r="G7" s="29">
        <v>160.6</v>
      </c>
      <c r="H7" s="29">
        <v>2.82</v>
      </c>
      <c r="I7" s="29">
        <v>8.68</v>
      </c>
      <c r="J7" s="29">
        <v>0</v>
      </c>
      <c r="K7" s="29">
        <v>11.76</v>
      </c>
      <c r="L7" s="29">
        <v>18.54</v>
      </c>
      <c r="M7" s="29">
        <v>15.14</v>
      </c>
      <c r="N7" s="29">
        <v>-0.78</v>
      </c>
      <c r="O7" s="29">
        <v>3.2240000000000002</v>
      </c>
      <c r="P7" s="29">
        <v>3.0110000000000001</v>
      </c>
      <c r="Q7" s="29">
        <v>3.2330000000000001</v>
      </c>
      <c r="R7" s="29">
        <v>-1.4220000000000002</v>
      </c>
      <c r="S7" s="29">
        <v>3.24</v>
      </c>
      <c r="T7" s="29">
        <v>12.875</v>
      </c>
      <c r="U7" s="29">
        <v>8.85</v>
      </c>
      <c r="V7" s="132"/>
      <c r="W7" s="128"/>
    </row>
    <row r="8" spans="1:23" s="28" customFormat="1" ht="15.75">
      <c r="A8" s="128"/>
      <c r="B8" s="119" t="s">
        <v>100</v>
      </c>
      <c r="C8" s="119"/>
      <c r="D8" s="119"/>
      <c r="E8" s="119"/>
      <c r="F8" s="11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132"/>
      <c r="W8" s="128"/>
    </row>
    <row r="9" spans="1:23" s="28" customFormat="1" ht="15.75">
      <c r="A9" s="128"/>
      <c r="B9" s="119" t="s">
        <v>101</v>
      </c>
      <c r="C9" s="119"/>
      <c r="D9" s="119"/>
      <c r="E9" s="119"/>
      <c r="F9" s="119"/>
      <c r="G9" s="29"/>
      <c r="H9" s="29">
        <f>SUM(H7:H8)</f>
        <v>2.82</v>
      </c>
      <c r="I9" s="29">
        <f>SUM(I7:I8)</f>
        <v>8.68</v>
      </c>
      <c r="J9" s="29">
        <f t="shared" ref="J9:N9" si="0">SUM(J7:J8)</f>
        <v>0</v>
      </c>
      <c r="K9" s="29">
        <f>SUM(K7:K8)</f>
        <v>11.76</v>
      </c>
      <c r="L9" s="29">
        <f>L7+L8</f>
        <v>18.54</v>
      </c>
      <c r="M9" s="29">
        <f t="shared" ref="M9" si="1">SUM(M7:M8)</f>
        <v>15.14</v>
      </c>
      <c r="N9" s="29">
        <f t="shared" si="0"/>
        <v>-0.78</v>
      </c>
      <c r="O9" s="29">
        <f>SUM(O7:O8)</f>
        <v>3.2240000000000002</v>
      </c>
      <c r="P9" s="29">
        <f t="shared" ref="P9:U9" si="2">SUM(P7:P8)</f>
        <v>3.0110000000000001</v>
      </c>
      <c r="Q9" s="29">
        <f t="shared" si="2"/>
        <v>3.2330000000000001</v>
      </c>
      <c r="R9" s="29">
        <f t="shared" si="2"/>
        <v>-1.4220000000000002</v>
      </c>
      <c r="S9" s="29">
        <f t="shared" si="2"/>
        <v>3.24</v>
      </c>
      <c r="T9" s="29">
        <f t="shared" si="2"/>
        <v>12.875</v>
      </c>
      <c r="U9" s="29">
        <f t="shared" si="2"/>
        <v>8.85</v>
      </c>
      <c r="V9" s="132"/>
      <c r="W9" s="128"/>
    </row>
    <row r="10" spans="1:23" ht="15.75">
      <c r="A10" s="31">
        <v>1</v>
      </c>
      <c r="B10" s="32" t="str">
        <f>IF(C10=0,"सुट्टी",IF(C10=1,"रविवार",IF(C10=2,"सोमवार",IF(C10=3,"मंगळवार",IF(C10=4,"बुधवार",IF(C10=5,"गुरुवार",IF(C10=6,"शुक्रवार",IF(C10=7,"शनिवार"))))))))</f>
        <v>रविवार</v>
      </c>
      <c r="C10" s="33">
        <v>1</v>
      </c>
      <c r="D10" s="32" t="str">
        <f t="shared" ref="D10:D26" si="3">IF(C10=0,"",IF(C10=1,"",IF(C10=2,"मुगडाळ खिचडी",IF(C10=3,"वरणभात",IF(C10=4,"उसळभात",IF(C10=5,"खिचडी",IF(C10=6,"आमटीभात",IF(C10=7,"उसळभात"))))))))</f>
        <v/>
      </c>
      <c r="E10" s="82">
        <v>0</v>
      </c>
      <c r="F10" s="82">
        <v>0</v>
      </c>
      <c r="G10" s="34">
        <f>E10*0.1</f>
        <v>0</v>
      </c>
      <c r="H10" s="34" t="str">
        <f t="shared" ref="H10" si="4">IF(C10=3,SUM(E10*0.02),IF(C10=5,SUM(E10*0.02),IF(C10=6,SUM(E10*0.02),"")))</f>
        <v/>
      </c>
      <c r="I10" s="34" t="str">
        <f>IF(C10=2,SUM(E10*0.02),"")</f>
        <v/>
      </c>
      <c r="J10" s="34" t="str">
        <f>IF(C10=2,SUM(E10*0.02),"")</f>
        <v/>
      </c>
      <c r="K10" s="34" t="str">
        <f t="shared" ref="K10" si="5">IF(C10=7,SUM(E10*0.02),"")</f>
        <v/>
      </c>
      <c r="L10" s="34"/>
      <c r="M10" s="34" t="str">
        <f>IF(C10=4,SUM(E10*0.02),"")</f>
        <v/>
      </c>
      <c r="N10" s="34" t="str">
        <f>IF(C10=4,SUM(E10*0.02),"")</f>
        <v/>
      </c>
      <c r="O10" s="34" t="str">
        <f>IF(C10=2,SUM(E10*0.00015),IF(C10=3,SUM(E10*0.00015),IF(C10=4,SUM(E10*0.00015),IF(C10=5,SUM(E10*0.00015),IF(C10=6,SUM(E10*0.00015),IF(C10=7,SUM(E10*0.00015),""))))))</f>
        <v/>
      </c>
      <c r="P10" s="34" t="str">
        <f>IF(C10=2,SUM(E10*0.0002),IF(C10=3,SUM(E10*0.0002),IF(C10=4,SUM(E10*0.0002),IF(C10=5,SUM(E10*0.0002),IF(C10=6,SUM(E10*0.0002),IF(C10=7,SUM(E10*0.0002),""))))))</f>
        <v/>
      </c>
      <c r="Q10" s="34" t="str">
        <f>IF(C10=2,SUM(E10*0.00015),IF(C10=3,SUM(E10*0.00015),IF(C10=4,SUM(E10*0.00015),IF(C10=5,SUM(E10*0.00015),IF(C10=6,SUM(E10*0.00015),IF(C10=7,SUM(E10*0.00015),""))))))</f>
        <v/>
      </c>
      <c r="R10" s="34" t="str">
        <f>IF(C10=2,SUM(E10*0.003),IF(C10=3,SUM(E10*0.003),IF(C10=4,SUM(E10*0.003),IF(C10=5,SUM(E10*0.003),IF(C10=6,SUM(E10*0.003),IF(C10=7,SUM(E10*0.003),""))))))</f>
        <v/>
      </c>
      <c r="S10" s="34" t="str">
        <f>IF(C10=2,SUM(E10*0.0009),IF(C10=3,SUM(E10*0.0009),IF(C10=4,SUM(E10*0.0009),IF(C10=5,SUM(E10*0.0009),IF(C10=6,SUM(E10*0.0009),IF(C10=7,SUM(E10*0.0009),""))))))</f>
        <v/>
      </c>
      <c r="T10" s="34" t="str">
        <f>IF(C10=2,SUM(E10*0.005),IF(C10=3,SUM(E10*0.005),IF(C10=4,SUM(E10*0.005),IF(C10=5,SUM(E10*0.005),IF(C10=6,SUM(E10*0.005),IF(C10=7,SUM(E10*0.005),""))))))</f>
        <v/>
      </c>
      <c r="U10" s="34" t="str">
        <f>IF(C10=2,SUM(E10*0.0007),IF(C10=3,SUM(E10*0.0007),IF(C10=4,SUM(E10*0.0007),IF(C10=5,SUM(E10*0.0007),IF(C10=6,SUM(E10*0.0007),IF(C10=7,SUM(E10*0.0007),""))))))</f>
        <v/>
      </c>
      <c r="V10" s="56" t="str">
        <f>IF(C10=2,SUM(E10*1.51),IF(C10=3,SUM(E10*1.51),IF(C10=4,SUM(E10*1.51),IF(C10=5,SUM(E10*1.51),IF(C10=6,SUM(E10*1.51),IF(C10=7,SUM(E10*1.51),""))))))</f>
        <v/>
      </c>
      <c r="W10" s="35"/>
    </row>
    <row r="11" spans="1:23" ht="15.75">
      <c r="A11" s="31">
        <v>2</v>
      </c>
      <c r="B11" s="32" t="str">
        <f t="shared" ref="B11:B40" si="6">IF(C11=0,"सुट्टी",IF(C11=1,"रविवार",IF(C11=2,"सोमवार",IF(C11=3,"मंगळवार",IF(C11=4,"बुधवार",IF(C11=5,"गुरुवार",IF(C11=6,"शुक्रवार",IF(C11=7,"शनिवार"))))))))</f>
        <v>सोमवार</v>
      </c>
      <c r="C11" s="33">
        <v>2</v>
      </c>
      <c r="D11" s="32" t="str">
        <f t="shared" si="3"/>
        <v>मुगडाळ खिचडी</v>
      </c>
      <c r="E11" s="82">
        <v>8</v>
      </c>
      <c r="F11" s="82">
        <v>8</v>
      </c>
      <c r="G11" s="34">
        <f t="shared" ref="G11:G40" si="7">E11*0.1</f>
        <v>0.8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56"/>
      <c r="W11" s="35"/>
    </row>
    <row r="12" spans="1:23" ht="15.75">
      <c r="A12" s="31">
        <v>3</v>
      </c>
      <c r="B12" s="32" t="str">
        <f t="shared" si="6"/>
        <v>मंगळवार</v>
      </c>
      <c r="C12" s="33">
        <v>3</v>
      </c>
      <c r="D12" s="32" t="str">
        <f t="shared" si="3"/>
        <v>वरणभात</v>
      </c>
      <c r="E12" s="82">
        <v>8</v>
      </c>
      <c r="F12" s="82">
        <v>8</v>
      </c>
      <c r="G12" s="34">
        <f t="shared" si="7"/>
        <v>0.8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56"/>
      <c r="W12" s="35"/>
    </row>
    <row r="13" spans="1:23" ht="15.75">
      <c r="A13" s="31">
        <v>4</v>
      </c>
      <c r="B13" s="32" t="str">
        <f t="shared" si="6"/>
        <v>बुधवार</v>
      </c>
      <c r="C13" s="33">
        <v>4</v>
      </c>
      <c r="D13" s="32" t="str">
        <f t="shared" si="3"/>
        <v>उसळभात</v>
      </c>
      <c r="E13" s="82">
        <v>7</v>
      </c>
      <c r="F13" s="82">
        <v>7</v>
      </c>
      <c r="G13" s="34">
        <f t="shared" si="7"/>
        <v>0.70000000000000007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56"/>
      <c r="W13" s="35"/>
    </row>
    <row r="14" spans="1:23" ht="15.75">
      <c r="A14" s="31">
        <v>5</v>
      </c>
      <c r="B14" s="32" t="str">
        <f t="shared" si="6"/>
        <v>गुरुवार</v>
      </c>
      <c r="C14" s="33">
        <v>5</v>
      </c>
      <c r="D14" s="32" t="str">
        <f t="shared" si="3"/>
        <v>खिचडी</v>
      </c>
      <c r="E14" s="82">
        <v>7</v>
      </c>
      <c r="F14" s="82">
        <v>7</v>
      </c>
      <c r="G14" s="34">
        <f t="shared" si="7"/>
        <v>0.70000000000000007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56"/>
      <c r="W14" s="35"/>
    </row>
    <row r="15" spans="1:23" ht="15.75">
      <c r="A15" s="31">
        <v>6</v>
      </c>
      <c r="B15" s="32" t="str">
        <f t="shared" si="6"/>
        <v>शुक्रवार</v>
      </c>
      <c r="C15" s="33">
        <v>6</v>
      </c>
      <c r="D15" s="32" t="str">
        <f t="shared" si="3"/>
        <v>आमटीभात</v>
      </c>
      <c r="E15" s="82">
        <v>7</v>
      </c>
      <c r="F15" s="82">
        <v>7</v>
      </c>
      <c r="G15" s="34">
        <f t="shared" si="7"/>
        <v>0.70000000000000007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56"/>
      <c r="W15" s="35"/>
    </row>
    <row r="16" spans="1:23" ht="15.75">
      <c r="A16" s="31">
        <v>7</v>
      </c>
      <c r="B16" s="32" t="str">
        <f t="shared" si="6"/>
        <v>शनिवार</v>
      </c>
      <c r="C16" s="33">
        <v>7</v>
      </c>
      <c r="D16" s="32" t="str">
        <f t="shared" si="3"/>
        <v>उसळभात</v>
      </c>
      <c r="E16" s="83">
        <v>7</v>
      </c>
      <c r="F16" s="83">
        <v>7</v>
      </c>
      <c r="G16" s="34">
        <f t="shared" si="7"/>
        <v>0.70000000000000007</v>
      </c>
      <c r="H16" s="34"/>
      <c r="I16" s="34">
        <v>0.18</v>
      </c>
      <c r="J16" s="34"/>
      <c r="K16" s="34">
        <v>0.16</v>
      </c>
      <c r="L16" s="34">
        <v>0.14000000000000001</v>
      </c>
      <c r="M16" s="34"/>
      <c r="N16" s="34"/>
      <c r="O16" s="34"/>
      <c r="P16" s="34"/>
      <c r="Q16" s="34"/>
      <c r="R16" s="34"/>
      <c r="S16" s="34"/>
      <c r="T16" s="34"/>
      <c r="U16" s="34"/>
      <c r="V16" s="56"/>
      <c r="W16" s="35"/>
    </row>
    <row r="17" spans="1:23" ht="15.75">
      <c r="A17" s="31">
        <v>8</v>
      </c>
      <c r="B17" s="32" t="str">
        <f t="shared" si="6"/>
        <v>रविवार</v>
      </c>
      <c r="C17" s="33">
        <v>1</v>
      </c>
      <c r="D17" s="32" t="str">
        <f t="shared" si="3"/>
        <v/>
      </c>
      <c r="E17" s="83">
        <v>0</v>
      </c>
      <c r="F17" s="83">
        <v>0</v>
      </c>
      <c r="G17" s="34">
        <f t="shared" si="7"/>
        <v>0</v>
      </c>
      <c r="H17" s="34">
        <v>0.1</v>
      </c>
      <c r="I17" s="34"/>
      <c r="J17" s="34"/>
      <c r="K17" s="34">
        <v>0.18</v>
      </c>
      <c r="L17" s="34">
        <v>0.16</v>
      </c>
      <c r="M17" s="34"/>
      <c r="N17" s="34"/>
      <c r="O17" s="34"/>
      <c r="P17" s="34"/>
      <c r="Q17" s="34"/>
      <c r="R17" s="34"/>
      <c r="S17" s="34"/>
      <c r="T17" s="34"/>
      <c r="U17" s="34"/>
      <c r="V17" s="56"/>
      <c r="W17" s="35"/>
    </row>
    <row r="18" spans="1:23" ht="15.75">
      <c r="A18" s="31">
        <v>9</v>
      </c>
      <c r="B18" s="32" t="str">
        <f t="shared" si="6"/>
        <v>सोमवार</v>
      </c>
      <c r="C18" s="33">
        <v>2</v>
      </c>
      <c r="D18" s="32" t="str">
        <f t="shared" si="3"/>
        <v>मुगडाळ खिचडी</v>
      </c>
      <c r="E18" s="83">
        <v>8</v>
      </c>
      <c r="F18" s="83">
        <v>8</v>
      </c>
      <c r="G18" s="34">
        <f t="shared" si="7"/>
        <v>0.8</v>
      </c>
      <c r="H18" s="34">
        <v>0.16</v>
      </c>
      <c r="I18" s="34"/>
      <c r="J18" s="34"/>
      <c r="K18" s="34">
        <v>0.18</v>
      </c>
      <c r="L18" s="34">
        <v>0.18</v>
      </c>
      <c r="M18" s="34"/>
      <c r="N18" s="34"/>
      <c r="O18" s="34"/>
      <c r="P18" s="34"/>
      <c r="Q18" s="34"/>
      <c r="R18" s="34"/>
      <c r="S18" s="34"/>
      <c r="T18" s="34"/>
      <c r="U18" s="34"/>
      <c r="V18" s="56"/>
      <c r="W18" s="35"/>
    </row>
    <row r="19" spans="1:23" ht="15.75">
      <c r="A19" s="31">
        <v>10</v>
      </c>
      <c r="B19" s="32" t="str">
        <f t="shared" si="6"/>
        <v>मंगळवार</v>
      </c>
      <c r="C19" s="33">
        <v>3</v>
      </c>
      <c r="D19" s="32" t="str">
        <f t="shared" si="3"/>
        <v>वरणभात</v>
      </c>
      <c r="E19" s="54">
        <v>8</v>
      </c>
      <c r="F19" s="81">
        <v>8</v>
      </c>
      <c r="G19" s="34">
        <f t="shared" si="7"/>
        <v>0.8</v>
      </c>
      <c r="H19" s="34">
        <v>0.18</v>
      </c>
      <c r="I19" s="34"/>
      <c r="J19" s="34"/>
      <c r="K19" s="34">
        <v>0.18</v>
      </c>
      <c r="L19" s="34">
        <v>0.18</v>
      </c>
      <c r="M19" s="34"/>
      <c r="N19" s="34"/>
      <c r="O19" s="34"/>
      <c r="P19" s="34"/>
      <c r="Q19" s="34"/>
      <c r="R19" s="34"/>
      <c r="S19" s="34"/>
      <c r="T19" s="34"/>
      <c r="U19" s="34"/>
      <c r="V19" s="56"/>
      <c r="W19" s="35"/>
    </row>
    <row r="20" spans="1:23" ht="15.75">
      <c r="A20" s="31">
        <v>11</v>
      </c>
      <c r="B20" s="32" t="str">
        <f t="shared" si="6"/>
        <v>बुधवार</v>
      </c>
      <c r="C20" s="33">
        <v>4</v>
      </c>
      <c r="D20" s="32" t="str">
        <f t="shared" si="3"/>
        <v>उसळभात</v>
      </c>
      <c r="E20" s="82">
        <v>9</v>
      </c>
      <c r="F20" s="82">
        <v>9</v>
      </c>
      <c r="G20" s="34">
        <f t="shared" si="7"/>
        <v>0.9</v>
      </c>
      <c r="H20" s="34">
        <v>0.18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6"/>
      <c r="W20" s="35"/>
    </row>
    <row r="21" spans="1:23" ht="15.75">
      <c r="A21" s="31">
        <v>12</v>
      </c>
      <c r="B21" s="32" t="str">
        <f t="shared" si="6"/>
        <v>गुरुवार</v>
      </c>
      <c r="C21" s="33">
        <v>5</v>
      </c>
      <c r="D21" s="32" t="str">
        <f t="shared" si="3"/>
        <v>खिचडी</v>
      </c>
      <c r="E21" s="81">
        <v>9</v>
      </c>
      <c r="F21" s="81">
        <v>9</v>
      </c>
      <c r="G21" s="34">
        <f t="shared" si="7"/>
        <v>0.9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56"/>
      <c r="W21" s="35"/>
    </row>
    <row r="22" spans="1:23" ht="15.75">
      <c r="A22" s="31">
        <v>13</v>
      </c>
      <c r="B22" s="32" t="str">
        <f t="shared" si="6"/>
        <v>शुक्रवार</v>
      </c>
      <c r="C22" s="33">
        <v>6</v>
      </c>
      <c r="D22" s="32" t="str">
        <f t="shared" si="3"/>
        <v>आमटीभात</v>
      </c>
      <c r="E22" s="82">
        <v>0</v>
      </c>
      <c r="F22" s="82">
        <v>0</v>
      </c>
      <c r="G22" s="34">
        <f t="shared" si="7"/>
        <v>0</v>
      </c>
      <c r="H22" s="34"/>
      <c r="I22" s="34">
        <v>0.18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56"/>
      <c r="W22" s="35"/>
    </row>
    <row r="23" spans="1:23" ht="15.75">
      <c r="A23" s="31">
        <v>14</v>
      </c>
      <c r="B23" s="32" t="str">
        <f t="shared" si="6"/>
        <v>शनिवार</v>
      </c>
      <c r="C23" s="33">
        <v>7</v>
      </c>
      <c r="D23" s="32" t="str">
        <f t="shared" si="3"/>
        <v>उसळभात</v>
      </c>
      <c r="E23" s="82">
        <v>9</v>
      </c>
      <c r="F23" s="82">
        <v>9</v>
      </c>
      <c r="G23" s="34">
        <f t="shared" si="7"/>
        <v>0.9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56"/>
      <c r="W23" s="35"/>
    </row>
    <row r="24" spans="1:23" ht="15.75">
      <c r="A24" s="31">
        <v>15</v>
      </c>
      <c r="B24" s="32" t="str">
        <f t="shared" si="6"/>
        <v>रविवार</v>
      </c>
      <c r="C24" s="33">
        <v>1</v>
      </c>
      <c r="D24" s="32" t="str">
        <f t="shared" si="3"/>
        <v/>
      </c>
      <c r="E24" s="82">
        <v>0</v>
      </c>
      <c r="F24" s="82">
        <v>0</v>
      </c>
      <c r="G24" s="34">
        <f t="shared" si="7"/>
        <v>0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56"/>
      <c r="W24" s="35"/>
    </row>
    <row r="25" spans="1:23" ht="15.75">
      <c r="A25" s="31">
        <v>16</v>
      </c>
      <c r="B25" s="32" t="str">
        <f>IF(C25=0,"सुट्टी",IF(C25=1,"रविवार",IF(C25=2,"सोमवार",IF(C25=3,"मंगळवार",IF(C25=4,"बुधवार",IF(C25=5,"गुरुवार",IF(C25=6,"शुक्रवार",IF(C25=7,"शनिवार"))))))))</f>
        <v>सोमवार</v>
      </c>
      <c r="C25" s="33">
        <v>2</v>
      </c>
      <c r="D25" s="32" t="str">
        <f t="shared" si="3"/>
        <v>मुगडाळ खिचडी</v>
      </c>
      <c r="E25" s="82">
        <v>9</v>
      </c>
      <c r="F25" s="82">
        <v>9</v>
      </c>
      <c r="G25" s="34">
        <f t="shared" si="7"/>
        <v>0.9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56"/>
      <c r="W25" s="35"/>
    </row>
    <row r="26" spans="1:23" ht="15.75">
      <c r="A26" s="31">
        <v>17</v>
      </c>
      <c r="B26" s="32" t="str">
        <f t="shared" si="6"/>
        <v>मंगळवार</v>
      </c>
      <c r="C26" s="33">
        <v>3</v>
      </c>
      <c r="D26" s="32" t="str">
        <f t="shared" si="3"/>
        <v>वरणभात</v>
      </c>
      <c r="E26" s="54">
        <v>9</v>
      </c>
      <c r="F26" s="81">
        <v>9</v>
      </c>
      <c r="G26" s="34">
        <f t="shared" si="7"/>
        <v>0.9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56"/>
      <c r="W26" s="35"/>
    </row>
    <row r="27" spans="1:23" ht="15.75">
      <c r="A27" s="31">
        <v>18</v>
      </c>
      <c r="B27" s="32" t="str">
        <f t="shared" si="6"/>
        <v>बुधवार</v>
      </c>
      <c r="C27" s="33">
        <v>4</v>
      </c>
      <c r="D27" s="32" t="str">
        <f>IF(C27=0,"",IF(C27=1,"",IF(C27=2,"मुगडाळ खिचडी",IF(C27=3,"वरणभात",IF(C27=4,"उसळभात",IF(C27=5,"खिचडी",IF(C27=6,"आमटीभात",IF(C27=7,"उसळभात"))))))))</f>
        <v>उसळभात</v>
      </c>
      <c r="E27" s="82">
        <v>9</v>
      </c>
      <c r="F27" s="82">
        <v>9</v>
      </c>
      <c r="G27" s="34">
        <f t="shared" si="7"/>
        <v>0.9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56"/>
      <c r="W27" s="35"/>
    </row>
    <row r="28" spans="1:23" ht="15.75">
      <c r="A28" s="31">
        <v>19</v>
      </c>
      <c r="B28" s="32" t="str">
        <f t="shared" si="6"/>
        <v>गुरुवार</v>
      </c>
      <c r="C28" s="33">
        <v>5</v>
      </c>
      <c r="D28" s="32" t="str">
        <f t="shared" ref="D28:D40" si="8">IF(C28=0,"",IF(C28=1,"",IF(C28=2,"मुगडाळ खिचडी",IF(C28=3,"वरणभात",IF(C28=4,"उसळभात",IF(C28=5,"खिचडी",IF(C28=6,"आमटीभात",IF(C28=7,"उसळभात"))))))))</f>
        <v>खिचडी</v>
      </c>
      <c r="E28" s="82">
        <v>8</v>
      </c>
      <c r="F28" s="82">
        <v>8</v>
      </c>
      <c r="G28" s="34">
        <f t="shared" si="7"/>
        <v>0.8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56"/>
      <c r="W28" s="35"/>
    </row>
    <row r="29" spans="1:23" ht="15.75">
      <c r="A29" s="31">
        <v>20</v>
      </c>
      <c r="B29" s="32" t="str">
        <f t="shared" si="6"/>
        <v>शुक्रवार</v>
      </c>
      <c r="C29" s="33">
        <v>6</v>
      </c>
      <c r="D29" s="32" t="str">
        <f t="shared" si="8"/>
        <v>आमटीभात</v>
      </c>
      <c r="E29" s="82">
        <v>8</v>
      </c>
      <c r="F29" s="82">
        <v>8</v>
      </c>
      <c r="G29" s="34">
        <f t="shared" si="7"/>
        <v>0.8</v>
      </c>
      <c r="H29" s="34"/>
      <c r="I29" s="34">
        <v>0.16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56"/>
      <c r="W29" s="35"/>
    </row>
    <row r="30" spans="1:23" ht="15.75">
      <c r="A30" s="31">
        <v>21</v>
      </c>
      <c r="B30" s="32" t="str">
        <f t="shared" si="6"/>
        <v>शनिवार</v>
      </c>
      <c r="C30" s="33">
        <v>7</v>
      </c>
      <c r="D30" s="32" t="str">
        <f t="shared" si="8"/>
        <v>उसळभात</v>
      </c>
      <c r="E30" s="82">
        <v>7</v>
      </c>
      <c r="F30" s="82">
        <v>7</v>
      </c>
      <c r="G30" s="34">
        <f t="shared" si="7"/>
        <v>0.70000000000000007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56"/>
      <c r="W30" s="35"/>
    </row>
    <row r="31" spans="1:23" ht="15.75">
      <c r="A31" s="31">
        <v>22</v>
      </c>
      <c r="B31" s="32" t="str">
        <f t="shared" si="6"/>
        <v>रविवार</v>
      </c>
      <c r="C31" s="33">
        <v>1</v>
      </c>
      <c r="D31" s="32" t="str">
        <f t="shared" si="8"/>
        <v/>
      </c>
      <c r="E31" s="82">
        <v>0</v>
      </c>
      <c r="F31" s="82">
        <v>0</v>
      </c>
      <c r="G31" s="34">
        <f t="shared" si="7"/>
        <v>0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56"/>
      <c r="W31" s="35"/>
    </row>
    <row r="32" spans="1:23" ht="15.75">
      <c r="A32" s="31">
        <v>23</v>
      </c>
      <c r="B32" s="32" t="str">
        <f t="shared" si="6"/>
        <v>सोमवार</v>
      </c>
      <c r="C32" s="33">
        <v>2</v>
      </c>
      <c r="D32" s="32" t="str">
        <f t="shared" si="8"/>
        <v>मुगडाळ खिचडी</v>
      </c>
      <c r="E32" s="82">
        <v>9</v>
      </c>
      <c r="F32" s="82">
        <v>9</v>
      </c>
      <c r="G32" s="34">
        <f t="shared" si="7"/>
        <v>0.9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56"/>
      <c r="W32" s="35"/>
    </row>
    <row r="33" spans="1:23" ht="15.75">
      <c r="A33" s="31">
        <v>24</v>
      </c>
      <c r="B33" s="32" t="str">
        <f t="shared" si="6"/>
        <v>मंगळवार</v>
      </c>
      <c r="C33" s="33">
        <v>3</v>
      </c>
      <c r="D33" s="32" t="str">
        <f t="shared" si="8"/>
        <v>वरणभात</v>
      </c>
      <c r="E33" s="54">
        <v>8</v>
      </c>
      <c r="F33" s="81">
        <v>8</v>
      </c>
      <c r="G33" s="34">
        <f t="shared" si="7"/>
        <v>0.8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6"/>
      <c r="W33" s="35"/>
    </row>
    <row r="34" spans="1:23" ht="15.75">
      <c r="A34" s="31">
        <v>25</v>
      </c>
      <c r="B34" s="32" t="str">
        <f t="shared" si="6"/>
        <v>सुट्टी</v>
      </c>
      <c r="C34" s="33">
        <v>0</v>
      </c>
      <c r="D34" s="32" t="str">
        <f t="shared" si="8"/>
        <v/>
      </c>
      <c r="E34" s="82">
        <v>0</v>
      </c>
      <c r="F34" s="82">
        <v>0</v>
      </c>
      <c r="G34" s="34">
        <f t="shared" si="7"/>
        <v>0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56"/>
      <c r="W34" s="35"/>
    </row>
    <row r="35" spans="1:23" ht="15.75">
      <c r="A35" s="31">
        <v>26</v>
      </c>
      <c r="B35" s="32" t="str">
        <f t="shared" si="6"/>
        <v>गुरुवार</v>
      </c>
      <c r="C35" s="33">
        <v>5</v>
      </c>
      <c r="D35" s="32" t="str">
        <f t="shared" si="8"/>
        <v>खिचडी</v>
      </c>
      <c r="E35" s="82">
        <v>7</v>
      </c>
      <c r="F35" s="82">
        <v>7</v>
      </c>
      <c r="G35" s="34">
        <f t="shared" si="7"/>
        <v>0.70000000000000007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56"/>
      <c r="W35" s="35"/>
    </row>
    <row r="36" spans="1:23" ht="15.75">
      <c r="A36" s="31">
        <v>27</v>
      </c>
      <c r="B36" s="32" t="str">
        <f t="shared" si="6"/>
        <v>शुक्रवार</v>
      </c>
      <c r="C36" s="33">
        <v>6</v>
      </c>
      <c r="D36" s="32" t="str">
        <f t="shared" si="8"/>
        <v>आमटीभात</v>
      </c>
      <c r="E36" s="82">
        <v>8</v>
      </c>
      <c r="F36" s="82">
        <v>8</v>
      </c>
      <c r="G36" s="34">
        <f t="shared" si="7"/>
        <v>0.8</v>
      </c>
      <c r="H36" s="34"/>
      <c r="I36" s="34">
        <v>0.16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56"/>
      <c r="W36" s="35"/>
    </row>
    <row r="37" spans="1:23" ht="15.75">
      <c r="A37" s="31">
        <v>28</v>
      </c>
      <c r="B37" s="32" t="str">
        <f t="shared" si="6"/>
        <v>शनिवार</v>
      </c>
      <c r="C37" s="33">
        <v>7</v>
      </c>
      <c r="D37" s="32" t="str">
        <f t="shared" si="8"/>
        <v>उसळभात</v>
      </c>
      <c r="E37" s="82">
        <v>6</v>
      </c>
      <c r="F37" s="82">
        <v>6</v>
      </c>
      <c r="G37" s="34">
        <f t="shared" si="7"/>
        <v>0.60000000000000009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56"/>
      <c r="W37" s="35"/>
    </row>
    <row r="38" spans="1:23" ht="15.75">
      <c r="A38" s="31">
        <v>29</v>
      </c>
      <c r="B38" s="32" t="str">
        <f t="shared" si="6"/>
        <v>सुट्टी</v>
      </c>
      <c r="C38" s="33">
        <v>0</v>
      </c>
      <c r="D38" s="32" t="str">
        <f t="shared" si="8"/>
        <v/>
      </c>
      <c r="E38" s="82">
        <v>0</v>
      </c>
      <c r="F38" s="82">
        <v>0</v>
      </c>
      <c r="G38" s="34">
        <f t="shared" si="7"/>
        <v>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56"/>
      <c r="W38" s="35"/>
    </row>
    <row r="39" spans="1:23" ht="15.75">
      <c r="A39" s="31">
        <v>30</v>
      </c>
      <c r="B39" s="32" t="str">
        <f t="shared" si="6"/>
        <v>सोमवार</v>
      </c>
      <c r="C39" s="33">
        <v>2</v>
      </c>
      <c r="D39" s="32" t="str">
        <f t="shared" si="8"/>
        <v>मुगडाळ खिचडी</v>
      </c>
      <c r="E39" s="82">
        <v>7</v>
      </c>
      <c r="F39" s="82">
        <v>7</v>
      </c>
      <c r="G39" s="34">
        <f t="shared" si="7"/>
        <v>0.70000000000000007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56"/>
      <c r="W39" s="35"/>
    </row>
    <row r="40" spans="1:23" ht="15.75">
      <c r="A40" s="31">
        <v>31</v>
      </c>
      <c r="B40" s="32" t="str">
        <f t="shared" si="6"/>
        <v>मंगळवार</v>
      </c>
      <c r="C40" s="33">
        <v>3</v>
      </c>
      <c r="D40" s="32" t="str">
        <f t="shared" si="8"/>
        <v>वरणभात</v>
      </c>
      <c r="E40" s="54">
        <v>8</v>
      </c>
      <c r="F40" s="82">
        <v>8</v>
      </c>
      <c r="G40" s="34">
        <f t="shared" si="7"/>
        <v>0.8</v>
      </c>
      <c r="H40" s="34"/>
      <c r="I40" s="34"/>
      <c r="J40" s="34"/>
      <c r="K40" s="34"/>
      <c r="L40" s="34"/>
      <c r="M40" s="34"/>
      <c r="N40" s="34"/>
      <c r="O40" s="34">
        <v>2.5499999999999998E-2</v>
      </c>
      <c r="P40" s="34">
        <v>3.4000000000000002E-2</v>
      </c>
      <c r="Q40" s="34">
        <v>2.5999999999999999E-2</v>
      </c>
      <c r="R40" s="34"/>
      <c r="S40" s="34"/>
      <c r="T40" s="34"/>
      <c r="U40" s="34"/>
      <c r="V40" s="56"/>
      <c r="W40" s="35"/>
    </row>
    <row r="41" spans="1:23" ht="15.75">
      <c r="A41" s="119" t="s">
        <v>109</v>
      </c>
      <c r="B41" s="119"/>
      <c r="C41" s="119"/>
      <c r="D41" s="119"/>
      <c r="E41" s="124"/>
      <c r="F41" s="126">
        <f>SUM(F10:F40)</f>
        <v>190</v>
      </c>
      <c r="G41" s="36">
        <f>SUM(G10:G40)</f>
        <v>19.000000000000007</v>
      </c>
      <c r="H41" s="36">
        <f t="shared" ref="H41:U41" si="9">SUM(H10:H40)</f>
        <v>0.62</v>
      </c>
      <c r="I41" s="36">
        <f t="shared" si="9"/>
        <v>0.68</v>
      </c>
      <c r="J41" s="36">
        <v>0</v>
      </c>
      <c r="K41" s="36">
        <f t="shared" si="9"/>
        <v>0.7</v>
      </c>
      <c r="L41" s="36">
        <f>SUM(L10:L40)</f>
        <v>0.66</v>
      </c>
      <c r="M41" s="36">
        <f t="shared" si="9"/>
        <v>0</v>
      </c>
      <c r="N41" s="36">
        <f t="shared" si="9"/>
        <v>0</v>
      </c>
      <c r="O41" s="36">
        <f>SUM(O10:O40)</f>
        <v>2.5499999999999998E-2</v>
      </c>
      <c r="P41" s="36">
        <f t="shared" si="9"/>
        <v>3.4000000000000002E-2</v>
      </c>
      <c r="Q41" s="36">
        <f t="shared" si="9"/>
        <v>2.5999999999999999E-2</v>
      </c>
      <c r="R41" s="36">
        <f t="shared" si="9"/>
        <v>0</v>
      </c>
      <c r="S41" s="36">
        <f t="shared" si="9"/>
        <v>0</v>
      </c>
      <c r="T41" s="36">
        <f t="shared" si="9"/>
        <v>0</v>
      </c>
      <c r="U41" s="36">
        <f t="shared" si="9"/>
        <v>0</v>
      </c>
      <c r="V41" s="120">
        <f>SUM(V10:V40)</f>
        <v>0</v>
      </c>
      <c r="W41" s="37"/>
    </row>
    <row r="42" spans="1:23" ht="15.75">
      <c r="A42" s="119" t="s">
        <v>108</v>
      </c>
      <c r="B42" s="119"/>
      <c r="C42" s="119"/>
      <c r="D42" s="119"/>
      <c r="E42" s="125"/>
      <c r="F42" s="127"/>
      <c r="G42" s="29">
        <f>G7-G41</f>
        <v>141.6</v>
      </c>
      <c r="H42" s="29">
        <f t="shared" ref="H42:U42" si="10">H9-H41</f>
        <v>2.1999999999999997</v>
      </c>
      <c r="I42" s="29">
        <f t="shared" si="10"/>
        <v>8</v>
      </c>
      <c r="J42" s="29">
        <f t="shared" si="10"/>
        <v>0</v>
      </c>
      <c r="K42" s="29">
        <f t="shared" si="10"/>
        <v>11.06</v>
      </c>
      <c r="L42" s="29">
        <f>L9-L41</f>
        <v>17.88</v>
      </c>
      <c r="M42" s="29">
        <f t="shared" si="10"/>
        <v>15.14</v>
      </c>
      <c r="N42" s="29">
        <f t="shared" si="10"/>
        <v>-0.78</v>
      </c>
      <c r="O42" s="29">
        <f t="shared" si="10"/>
        <v>3.1985000000000001</v>
      </c>
      <c r="P42" s="29">
        <f t="shared" si="10"/>
        <v>2.9770000000000003</v>
      </c>
      <c r="Q42" s="29">
        <f t="shared" si="10"/>
        <v>3.2070000000000003</v>
      </c>
      <c r="R42" s="29">
        <f t="shared" si="10"/>
        <v>-1.4220000000000002</v>
      </c>
      <c r="S42" s="29">
        <f t="shared" si="10"/>
        <v>3.24</v>
      </c>
      <c r="T42" s="29">
        <f t="shared" si="10"/>
        <v>12.875</v>
      </c>
      <c r="U42" s="29">
        <f t="shared" si="10"/>
        <v>8.85</v>
      </c>
      <c r="V42" s="120"/>
      <c r="W42" s="38"/>
    </row>
    <row r="44" spans="1:23" ht="15.75" thickBot="1"/>
    <row r="45" spans="1:23" s="45" customFormat="1" ht="16.5" thickBot="1">
      <c r="A45" s="40"/>
      <c r="B45" s="121" t="s">
        <v>102</v>
      </c>
      <c r="C45" s="121"/>
      <c r="D45" s="121"/>
      <c r="E45" s="41">
        <f>F41</f>
        <v>190</v>
      </c>
      <c r="F45" s="42"/>
      <c r="G45" s="43"/>
      <c r="H45" s="44" t="s">
        <v>103</v>
      </c>
      <c r="I45" s="44"/>
      <c r="J45" s="44"/>
      <c r="K45" s="44"/>
      <c r="L45" s="44"/>
      <c r="M45" s="44"/>
      <c r="N45" s="43"/>
      <c r="O45" s="41">
        <v>20</v>
      </c>
      <c r="P45" s="43"/>
      <c r="Q45" s="121" t="s">
        <v>104</v>
      </c>
      <c r="R45" s="121"/>
      <c r="S45" s="50">
        <f>9</f>
        <v>9</v>
      </c>
      <c r="T45" s="122" t="s">
        <v>105</v>
      </c>
      <c r="U45" s="123"/>
      <c r="V45" s="123" t="s">
        <v>106</v>
      </c>
      <c r="W45" s="123"/>
    </row>
    <row r="46" spans="1:23">
      <c r="B46" s="46"/>
      <c r="C46" s="46"/>
      <c r="D46" s="46"/>
      <c r="E46" s="53"/>
      <c r="F46" s="53"/>
      <c r="G46" s="47"/>
      <c r="H46" s="48"/>
      <c r="I46" s="48"/>
      <c r="J46" s="48"/>
      <c r="K46" s="48"/>
      <c r="L46" s="48"/>
      <c r="M46" s="48"/>
      <c r="N46" s="47"/>
      <c r="O46" s="53"/>
      <c r="P46" s="47"/>
      <c r="Q46" s="46"/>
      <c r="R46" s="46"/>
      <c r="S46" s="46"/>
      <c r="T46" s="115" t="s">
        <v>107</v>
      </c>
      <c r="U46" s="115"/>
      <c r="V46" s="115"/>
      <c r="W46" s="115"/>
    </row>
    <row r="47" spans="1:23">
      <c r="B47" s="46"/>
      <c r="C47" s="46"/>
      <c r="D47" s="46"/>
      <c r="E47" s="53"/>
      <c r="F47" s="53"/>
      <c r="G47" s="47"/>
      <c r="H47" s="48"/>
      <c r="I47" s="48"/>
      <c r="J47" s="48"/>
      <c r="K47" s="48"/>
      <c r="L47" s="48"/>
      <c r="M47" s="48"/>
      <c r="N47" s="47"/>
      <c r="O47" s="53"/>
      <c r="P47" s="47"/>
      <c r="Q47" s="46"/>
      <c r="R47" s="46"/>
      <c r="S47" s="46"/>
      <c r="T47" s="49"/>
      <c r="U47" s="49"/>
      <c r="V47" s="58"/>
      <c r="W47" s="49"/>
    </row>
  </sheetData>
  <protectedRanges>
    <protectedRange sqref="E10:E40 F16:F40" name="Range4_1"/>
  </protectedRanges>
  <mergeCells count="41">
    <mergeCell ref="A3:A5"/>
    <mergeCell ref="B3:B5"/>
    <mergeCell ref="C3:C5"/>
    <mergeCell ref="D3:D5"/>
    <mergeCell ref="E3:E4"/>
    <mergeCell ref="A1:W1"/>
    <mergeCell ref="C2:H2"/>
    <mergeCell ref="J2:N2"/>
    <mergeCell ref="O2:Q2"/>
    <mergeCell ref="A2:B2"/>
    <mergeCell ref="V2:W2"/>
    <mergeCell ref="R2:T2"/>
    <mergeCell ref="A7:A9"/>
    <mergeCell ref="B7:F7"/>
    <mergeCell ref="V7:V9"/>
    <mergeCell ref="W7:W9"/>
    <mergeCell ref="B8:F8"/>
    <mergeCell ref="B9:F9"/>
    <mergeCell ref="A41:D41"/>
    <mergeCell ref="V41:V42"/>
    <mergeCell ref="A42:D42"/>
    <mergeCell ref="B45:D45"/>
    <mergeCell ref="Q45:R45"/>
    <mergeCell ref="T45:U45"/>
    <mergeCell ref="V45:W45"/>
    <mergeCell ref="E41:E42"/>
    <mergeCell ref="F41:F42"/>
    <mergeCell ref="F3:F5"/>
    <mergeCell ref="G3:G4"/>
    <mergeCell ref="H3:H4"/>
    <mergeCell ref="T46:W46"/>
    <mergeCell ref="N3:N4"/>
    <mergeCell ref="O3:S3"/>
    <mergeCell ref="T3:T4"/>
    <mergeCell ref="U3:U4"/>
    <mergeCell ref="V3:V5"/>
    <mergeCell ref="I3:I4"/>
    <mergeCell ref="J3:J4"/>
    <mergeCell ref="K3:K4"/>
    <mergeCell ref="W3:W5"/>
    <mergeCell ref="M3:M4"/>
  </mergeCells>
  <conditionalFormatting sqref="C10:C40">
    <cfRule type="expression" dxfId="0" priority="1" stopIfTrue="1">
      <formula>NOT(ISERROR(SEARCH("Sun",C10)))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5" fitToHeight="10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N7" sqref="N7"/>
    </sheetView>
  </sheetViews>
  <sheetFormatPr defaultColWidth="8.6640625" defaultRowHeight="15.75"/>
  <cols>
    <col min="1" max="1" width="4.5" style="60" bestFit="1" customWidth="1"/>
    <col min="2" max="2" width="7.58203125" style="61" customWidth="1"/>
    <col min="3" max="3" width="6.9140625" style="86" customWidth="1"/>
    <col min="4" max="4" width="6.9140625" style="60" customWidth="1"/>
    <col min="5" max="5" width="6.9140625" style="85" customWidth="1"/>
    <col min="6" max="6" width="7.6640625" style="60" customWidth="1"/>
    <col min="7" max="7" width="6.6640625" style="60" customWidth="1"/>
    <col min="8" max="8" width="6.4140625" style="60" customWidth="1"/>
    <col min="9" max="9" width="5.33203125" style="60" customWidth="1"/>
    <col min="10" max="10" width="8.6640625" style="59" customWidth="1"/>
    <col min="11" max="11" width="5.1640625" style="59" hidden="1" customWidth="1"/>
    <col min="12" max="12" width="4.58203125" style="59" hidden="1" customWidth="1"/>
    <col min="13" max="13" width="4.9140625" style="59" hidden="1" customWidth="1"/>
    <col min="14" max="14" width="8.6640625" style="59" customWidth="1"/>
    <col min="15" max="16384" width="8.6640625" style="59"/>
  </cols>
  <sheetData>
    <row r="1" spans="1:17" ht="28.5" customHeight="1">
      <c r="A1" s="138" t="s">
        <v>121</v>
      </c>
      <c r="B1" s="138"/>
      <c r="C1" s="138"/>
      <c r="D1" s="138"/>
      <c r="E1" s="138"/>
      <c r="F1" s="138"/>
      <c r="G1" s="138"/>
      <c r="H1" s="138"/>
      <c r="I1" s="138"/>
    </row>
    <row r="2" spans="1:17" ht="24.75" customHeight="1">
      <c r="A2" s="139" t="s">
        <v>122</v>
      </c>
      <c r="B2" s="139"/>
      <c r="C2" s="139"/>
      <c r="D2" s="139"/>
      <c r="E2" s="139"/>
      <c r="F2" s="139"/>
      <c r="G2" s="139"/>
      <c r="H2" s="139"/>
      <c r="I2" s="139"/>
    </row>
    <row r="3" spans="1:17" ht="21" customHeight="1">
      <c r="A3" s="140" t="s">
        <v>146</v>
      </c>
      <c r="B3" s="140"/>
      <c r="C3" s="140"/>
      <c r="D3" s="140"/>
      <c r="E3" s="140"/>
      <c r="F3" s="140"/>
      <c r="G3" s="140"/>
      <c r="H3" s="140"/>
      <c r="I3" s="140"/>
    </row>
    <row r="4" spans="1:17">
      <c r="C4" s="86" t="s">
        <v>1</v>
      </c>
      <c r="E4" s="75"/>
      <c r="F4" s="84">
        <v>9</v>
      </c>
      <c r="G4" s="142" t="s">
        <v>138</v>
      </c>
      <c r="H4" s="143"/>
      <c r="I4" s="79"/>
    </row>
    <row r="5" spans="1:17">
      <c r="C5" s="86" t="s">
        <v>123</v>
      </c>
      <c r="F5" s="63"/>
      <c r="G5" s="61"/>
      <c r="I5" s="62">
        <f>'1 to 5 (2)'!E45</f>
        <v>190</v>
      </c>
    </row>
    <row r="6" spans="1:17">
      <c r="C6" s="86" t="s">
        <v>124</v>
      </c>
      <c r="F6" s="64"/>
      <c r="G6" s="142" t="s">
        <v>125</v>
      </c>
      <c r="H6" s="143"/>
      <c r="I6" s="62">
        <f>'1 to 5 (2)'!O45</f>
        <v>20</v>
      </c>
    </row>
    <row r="7" spans="1:17" ht="18">
      <c r="A7" s="76" t="s">
        <v>88</v>
      </c>
      <c r="B7" s="135" t="s">
        <v>145</v>
      </c>
      <c r="C7" s="135"/>
      <c r="F7" s="64"/>
      <c r="G7" s="142" t="s">
        <v>126</v>
      </c>
      <c r="H7" s="143"/>
      <c r="I7" s="62">
        <f>I6</f>
        <v>20</v>
      </c>
    </row>
    <row r="8" spans="1:17" ht="9" customHeight="1"/>
    <row r="9" spans="1:17" s="66" customFormat="1" ht="90.75" customHeight="1">
      <c r="A9" s="65" t="s">
        <v>41</v>
      </c>
      <c r="B9" s="65" t="s">
        <v>19</v>
      </c>
      <c r="C9" s="87" t="s">
        <v>127</v>
      </c>
      <c r="D9" s="65" t="s">
        <v>128</v>
      </c>
      <c r="E9" s="90" t="s">
        <v>129</v>
      </c>
      <c r="F9" s="65" t="s">
        <v>130</v>
      </c>
      <c r="G9" s="65" t="s">
        <v>42</v>
      </c>
      <c r="H9" s="65" t="s">
        <v>43</v>
      </c>
      <c r="I9" s="65" t="s">
        <v>44</v>
      </c>
    </row>
    <row r="10" spans="1:17">
      <c r="A10" s="78">
        <v>1</v>
      </c>
      <c r="B10" s="78">
        <v>2</v>
      </c>
      <c r="C10" s="88">
        <v>3</v>
      </c>
      <c r="D10" s="78">
        <v>4</v>
      </c>
      <c r="E10" s="78">
        <v>5</v>
      </c>
      <c r="F10" s="78">
        <v>6</v>
      </c>
      <c r="G10" s="78">
        <v>7</v>
      </c>
      <c r="H10" s="78">
        <v>8</v>
      </c>
      <c r="I10" s="78">
        <v>9</v>
      </c>
      <c r="Q10" s="73"/>
    </row>
    <row r="11" spans="1:17">
      <c r="A11" s="67">
        <v>1</v>
      </c>
      <c r="B11" s="68" t="s">
        <v>24</v>
      </c>
      <c r="C11" s="89">
        <f>'1 to 5 (2)'!G7</f>
        <v>160.6</v>
      </c>
      <c r="D11" s="69">
        <f>'1 to 5 (2)'!G8</f>
        <v>0</v>
      </c>
      <c r="E11" s="91">
        <f>SUM(C11:D11)</f>
        <v>160.6</v>
      </c>
      <c r="F11" s="69"/>
      <c r="G11" s="69">
        <f>E11-F11</f>
        <v>160.6</v>
      </c>
      <c r="H11" s="69"/>
      <c r="I11" s="144"/>
      <c r="K11" s="59">
        <v>0.1</v>
      </c>
      <c r="L11" s="59">
        <f>K11*39*45</f>
        <v>175.50000000000003</v>
      </c>
      <c r="M11" s="74">
        <f>L11-G11</f>
        <v>14.900000000000034</v>
      </c>
    </row>
    <row r="12" spans="1:17">
      <c r="A12" s="67">
        <v>2</v>
      </c>
      <c r="B12" s="68" t="s">
        <v>132</v>
      </c>
      <c r="C12" s="89">
        <f>'1 to 5 (2)'!H7</f>
        <v>2.82</v>
      </c>
      <c r="D12" s="69">
        <f>'1 to 5 (2)'!H8</f>
        <v>0</v>
      </c>
      <c r="E12" s="91">
        <f t="shared" ref="E12:E24" si="0">SUM(C12:D12)</f>
        <v>2.82</v>
      </c>
      <c r="F12" s="69">
        <f>'1 to 5 (2)'!H41</f>
        <v>0.62</v>
      </c>
      <c r="G12" s="69">
        <f t="shared" ref="G12:G24" si="1">E12-F12</f>
        <v>2.1999999999999997</v>
      </c>
      <c r="H12" s="69"/>
      <c r="I12" s="145"/>
      <c r="K12" s="59">
        <v>0.02</v>
      </c>
      <c r="L12" s="59">
        <f>K12*39*18</f>
        <v>14.040000000000001</v>
      </c>
      <c r="M12" s="74">
        <f t="shared" ref="M12:M24" si="2">L12-G12</f>
        <v>11.840000000000002</v>
      </c>
    </row>
    <row r="13" spans="1:17">
      <c r="A13" s="67">
        <v>3</v>
      </c>
      <c r="B13" s="68" t="s">
        <v>131</v>
      </c>
      <c r="C13" s="89">
        <f>'1 to 5 (2)'!I7</f>
        <v>8.68</v>
      </c>
      <c r="D13" s="69">
        <v>0</v>
      </c>
      <c r="E13" s="91">
        <f t="shared" si="0"/>
        <v>8.68</v>
      </c>
      <c r="F13" s="69">
        <f>'1 to 5 (2)'!I41</f>
        <v>0.68</v>
      </c>
      <c r="G13" s="69">
        <f t="shared" si="1"/>
        <v>8</v>
      </c>
      <c r="H13" s="69"/>
      <c r="I13" s="145"/>
      <c r="K13" s="59">
        <v>0.02</v>
      </c>
      <c r="L13" s="59">
        <f>K13*39*6</f>
        <v>4.68</v>
      </c>
      <c r="M13" s="74">
        <f t="shared" si="2"/>
        <v>-3.3200000000000003</v>
      </c>
      <c r="N13" s="36" t="e">
        <f>SUM(#REF!)</f>
        <v>#REF!</v>
      </c>
    </row>
    <row r="14" spans="1:17">
      <c r="A14" s="67">
        <v>4</v>
      </c>
      <c r="B14" s="68" t="s">
        <v>27</v>
      </c>
      <c r="C14" s="94">
        <v>19.2</v>
      </c>
      <c r="D14" s="69">
        <v>0</v>
      </c>
      <c r="E14" s="92">
        <v>19.2</v>
      </c>
      <c r="F14" s="69">
        <v>0.66</v>
      </c>
      <c r="G14" s="69">
        <v>18.54</v>
      </c>
      <c r="H14" s="69"/>
      <c r="I14" s="145"/>
      <c r="K14" s="59">
        <v>0.02</v>
      </c>
      <c r="L14" s="59">
        <f>K14*39*6</f>
        <v>4.68</v>
      </c>
      <c r="M14" s="74">
        <f t="shared" si="2"/>
        <v>-13.86</v>
      </c>
      <c r="N14" s="29" t="e">
        <f>#REF!-N13</f>
        <v>#REF!</v>
      </c>
    </row>
    <row r="15" spans="1:17">
      <c r="A15" s="67">
        <v>5</v>
      </c>
      <c r="B15" s="68" t="s">
        <v>28</v>
      </c>
      <c r="C15" s="89">
        <f>'1 to 5 (2)'!K7</f>
        <v>11.76</v>
      </c>
      <c r="D15" s="69">
        <f>'1 to 5 (2)'!K8</f>
        <v>0</v>
      </c>
      <c r="E15" s="91">
        <f t="shared" si="0"/>
        <v>11.76</v>
      </c>
      <c r="F15" s="69">
        <f>'1 to 5 (2)'!K41</f>
        <v>0.7</v>
      </c>
      <c r="G15" s="69">
        <f t="shared" si="1"/>
        <v>11.06</v>
      </c>
      <c r="H15" s="69"/>
      <c r="I15" s="145"/>
      <c r="K15" s="59">
        <v>0.02</v>
      </c>
      <c r="L15" s="59">
        <f>K15*39*6</f>
        <v>4.68</v>
      </c>
      <c r="M15" s="74">
        <f t="shared" si="2"/>
        <v>-6.3800000000000008</v>
      </c>
    </row>
    <row r="16" spans="1:17">
      <c r="A16" s="67">
        <v>6</v>
      </c>
      <c r="B16" s="68" t="s">
        <v>29</v>
      </c>
      <c r="C16" s="89"/>
      <c r="D16" s="69"/>
      <c r="E16" s="91"/>
      <c r="F16" s="69"/>
      <c r="G16" s="69"/>
      <c r="H16" s="69"/>
      <c r="I16" s="145"/>
      <c r="K16" s="59">
        <v>0.02</v>
      </c>
      <c r="L16" s="59">
        <f>K16*39*6</f>
        <v>4.68</v>
      </c>
      <c r="M16" s="74">
        <f t="shared" si="2"/>
        <v>4.68</v>
      </c>
    </row>
    <row r="17" spans="1:13">
      <c r="A17" s="67">
        <v>7</v>
      </c>
      <c r="B17" s="68"/>
      <c r="C17" s="89"/>
      <c r="D17" s="69"/>
      <c r="E17" s="91"/>
      <c r="F17" s="69"/>
      <c r="G17" s="69"/>
      <c r="H17" s="69"/>
      <c r="I17" s="145"/>
      <c r="K17" s="59">
        <v>0.02</v>
      </c>
      <c r="L17" s="59">
        <f>K17*39*6</f>
        <v>4.68</v>
      </c>
      <c r="M17" s="74">
        <f t="shared" si="2"/>
        <v>4.68</v>
      </c>
    </row>
    <row r="18" spans="1:13">
      <c r="A18" s="67">
        <v>8</v>
      </c>
      <c r="B18" s="68" t="s">
        <v>32</v>
      </c>
      <c r="C18" s="89">
        <f>'1 to 5 (2)'!O7</f>
        <v>3.2240000000000002</v>
      </c>
      <c r="D18" s="69">
        <f>'1 to 5 (2)'!O8</f>
        <v>0</v>
      </c>
      <c r="E18" s="91">
        <f t="shared" si="0"/>
        <v>3.2240000000000002</v>
      </c>
      <c r="F18" s="69">
        <f>'1 to 5 (2)'!O41</f>
        <v>2.5499999999999998E-2</v>
      </c>
      <c r="G18" s="69">
        <f t="shared" si="1"/>
        <v>3.1985000000000001</v>
      </c>
      <c r="H18" s="69"/>
      <c r="I18" s="145"/>
      <c r="K18" s="59">
        <v>1.4999999999999999E-4</v>
      </c>
      <c r="L18" s="59">
        <f t="shared" ref="L18:L24" si="3">K18*39*45</f>
        <v>0.26324999999999998</v>
      </c>
      <c r="M18" s="74">
        <f t="shared" si="2"/>
        <v>-2.9352499999999999</v>
      </c>
    </row>
    <row r="19" spans="1:13">
      <c r="A19" s="67">
        <v>9</v>
      </c>
      <c r="B19" s="68" t="s">
        <v>31</v>
      </c>
      <c r="C19" s="89">
        <f>'1 to 5 (2)'!P7</f>
        <v>3.0110000000000001</v>
      </c>
      <c r="D19" s="69">
        <f>'1 to 5 (2)'!P8</f>
        <v>0</v>
      </c>
      <c r="E19" s="91">
        <f t="shared" si="0"/>
        <v>3.0110000000000001</v>
      </c>
      <c r="F19" s="69">
        <f>'1 to 5 (2)'!P41</f>
        <v>3.4000000000000002E-2</v>
      </c>
      <c r="G19" s="69">
        <f t="shared" si="1"/>
        <v>2.9770000000000003</v>
      </c>
      <c r="H19" s="69"/>
      <c r="I19" s="145"/>
      <c r="K19" s="59">
        <v>2.0000000000000001E-4</v>
      </c>
      <c r="L19" s="59">
        <f t="shared" si="3"/>
        <v>0.35100000000000003</v>
      </c>
      <c r="M19" s="74">
        <f t="shared" si="2"/>
        <v>-2.6260000000000003</v>
      </c>
    </row>
    <row r="20" spans="1:13">
      <c r="A20" s="67">
        <v>10</v>
      </c>
      <c r="B20" s="68" t="s">
        <v>33</v>
      </c>
      <c r="C20" s="89">
        <f>'1 to 5 (2)'!Q7</f>
        <v>3.2330000000000001</v>
      </c>
      <c r="D20" s="69">
        <f>'1 to 5 (2)'!Q8</f>
        <v>0</v>
      </c>
      <c r="E20" s="91">
        <f t="shared" si="0"/>
        <v>3.2330000000000001</v>
      </c>
      <c r="F20" s="69">
        <f>'1 to 5 (2)'!Q41</f>
        <v>2.5999999999999999E-2</v>
      </c>
      <c r="G20" s="69">
        <f t="shared" si="1"/>
        <v>3.2070000000000003</v>
      </c>
      <c r="H20" s="69"/>
      <c r="I20" s="145"/>
      <c r="K20" s="59">
        <v>1.4999999999999999E-4</v>
      </c>
      <c r="L20" s="59">
        <f t="shared" si="3"/>
        <v>0.26324999999999998</v>
      </c>
      <c r="M20" s="74">
        <f t="shared" si="2"/>
        <v>-2.9437500000000005</v>
      </c>
    </row>
    <row r="21" spans="1:13">
      <c r="A21" s="67">
        <v>11</v>
      </c>
      <c r="B21" s="68" t="s">
        <v>37</v>
      </c>
      <c r="C21" s="89">
        <f>'1 to 5 (2)'!S7</f>
        <v>3.24</v>
      </c>
      <c r="D21" s="69">
        <f>'1 to 5 (2)'!S8</f>
        <v>0</v>
      </c>
      <c r="E21" s="91">
        <f t="shared" si="0"/>
        <v>3.24</v>
      </c>
      <c r="F21" s="69">
        <f>'1 to 5 (2)'!S41</f>
        <v>0</v>
      </c>
      <c r="G21" s="69">
        <f t="shared" si="1"/>
        <v>3.24</v>
      </c>
      <c r="H21" s="69"/>
      <c r="I21" s="145"/>
      <c r="K21" s="59">
        <v>8.9999999999999998E-4</v>
      </c>
      <c r="L21" s="59">
        <f t="shared" si="3"/>
        <v>1.5794999999999999</v>
      </c>
      <c r="M21" s="74">
        <f t="shared" si="2"/>
        <v>-1.6605000000000003</v>
      </c>
    </row>
    <row r="22" spans="1:13">
      <c r="A22" s="67">
        <v>12</v>
      </c>
      <c r="B22" s="68" t="s">
        <v>95</v>
      </c>
      <c r="C22" s="89">
        <f>'1 to 5 (2)'!T7</f>
        <v>12.875</v>
      </c>
      <c r="D22" s="69">
        <f>'1 to 5 (2)'!T8</f>
        <v>0</v>
      </c>
      <c r="E22" s="91">
        <f t="shared" si="0"/>
        <v>12.875</v>
      </c>
      <c r="F22" s="69">
        <f>'1 to 5 (2)'!T41</f>
        <v>0</v>
      </c>
      <c r="G22" s="69">
        <f t="shared" si="1"/>
        <v>12.875</v>
      </c>
      <c r="H22" s="69"/>
      <c r="I22" s="145"/>
      <c r="K22" s="59">
        <v>5.0000000000000001E-3</v>
      </c>
      <c r="L22" s="59">
        <f t="shared" si="3"/>
        <v>8.7750000000000004</v>
      </c>
      <c r="M22" s="74">
        <f t="shared" si="2"/>
        <v>-4.0999999999999996</v>
      </c>
    </row>
    <row r="23" spans="1:13">
      <c r="A23" s="67">
        <v>13</v>
      </c>
      <c r="B23" s="68" t="s">
        <v>36</v>
      </c>
      <c r="C23" s="89">
        <f>'1 to 5 (2)'!U7</f>
        <v>8.85</v>
      </c>
      <c r="D23" s="69">
        <f>'1 to 5 (2)'!U8</f>
        <v>0</v>
      </c>
      <c r="E23" s="91">
        <f t="shared" si="0"/>
        <v>8.85</v>
      </c>
      <c r="F23" s="69">
        <f>'1 to 5 (2)'!U41</f>
        <v>0</v>
      </c>
      <c r="G23" s="69">
        <f t="shared" si="1"/>
        <v>8.85</v>
      </c>
      <c r="H23" s="69"/>
      <c r="I23" s="145"/>
      <c r="K23" s="59">
        <v>7.0000000000000001E-3</v>
      </c>
      <c r="L23" s="59">
        <f t="shared" si="3"/>
        <v>12.285</v>
      </c>
      <c r="M23" s="74">
        <f t="shared" si="2"/>
        <v>3.4350000000000005</v>
      </c>
    </row>
    <row r="24" spans="1:13">
      <c r="A24" s="67">
        <v>14</v>
      </c>
      <c r="B24" s="68" t="s">
        <v>97</v>
      </c>
      <c r="C24" s="89">
        <v>0</v>
      </c>
      <c r="D24" s="69">
        <v>0</v>
      </c>
      <c r="E24" s="91">
        <f t="shared" si="0"/>
        <v>0</v>
      </c>
      <c r="F24" s="69">
        <v>0</v>
      </c>
      <c r="G24" s="69">
        <f t="shared" si="1"/>
        <v>0</v>
      </c>
      <c r="H24" s="69"/>
      <c r="I24" s="146"/>
      <c r="K24" s="59">
        <v>8.9999999999999998E-4</v>
      </c>
      <c r="L24" s="59">
        <f t="shared" si="3"/>
        <v>1.5794999999999999</v>
      </c>
      <c r="M24" s="74">
        <f t="shared" si="2"/>
        <v>1.5794999999999999</v>
      </c>
    </row>
    <row r="25" spans="1:13" s="70" customFormat="1" ht="20.25" customHeight="1">
      <c r="A25" s="141" t="s">
        <v>133</v>
      </c>
      <c r="B25" s="141"/>
      <c r="C25" s="141"/>
      <c r="D25" s="141"/>
      <c r="E25" s="141"/>
      <c r="F25" s="141"/>
      <c r="G25" s="141"/>
      <c r="H25" s="141"/>
      <c r="I25" s="141"/>
    </row>
    <row r="26" spans="1:13" s="70" customFormat="1" ht="20.25" customHeight="1">
      <c r="A26" s="141" t="s">
        <v>148</v>
      </c>
      <c r="B26" s="141"/>
      <c r="C26" s="141"/>
      <c r="D26" s="141"/>
      <c r="E26" s="141"/>
      <c r="F26" s="141"/>
      <c r="G26" s="141"/>
      <c r="H26" s="141"/>
      <c r="I26" s="141"/>
    </row>
    <row r="27" spans="1:13" s="70" customFormat="1" ht="39" customHeight="1">
      <c r="A27" s="141" t="s">
        <v>149</v>
      </c>
      <c r="B27" s="141"/>
      <c r="C27" s="141"/>
      <c r="D27" s="141"/>
      <c r="E27" s="141"/>
      <c r="F27" s="141"/>
      <c r="G27" s="141"/>
      <c r="H27" s="141"/>
      <c r="I27" s="141"/>
    </row>
    <row r="28" spans="1:13" s="70" customFormat="1" ht="21" customHeight="1">
      <c r="A28" s="141" t="s">
        <v>151</v>
      </c>
      <c r="B28" s="141"/>
      <c r="C28" s="141"/>
      <c r="D28" s="141"/>
      <c r="E28" s="141"/>
      <c r="F28" s="141"/>
      <c r="G28" s="141"/>
      <c r="H28" s="141"/>
      <c r="I28" s="141"/>
    </row>
    <row r="29" spans="1:13" s="70" customFormat="1" ht="20.25" customHeight="1">
      <c r="A29" s="141" t="s">
        <v>134</v>
      </c>
      <c r="B29" s="141"/>
      <c r="C29" s="141"/>
      <c r="D29" s="141"/>
      <c r="E29" s="141"/>
      <c r="F29" s="141"/>
      <c r="G29" s="141"/>
      <c r="H29" s="141"/>
      <c r="I29" s="141"/>
    </row>
    <row r="30" spans="1:13" s="70" customFormat="1" ht="15">
      <c r="A30" s="141"/>
      <c r="B30" s="141"/>
      <c r="C30" s="141"/>
      <c r="D30" s="141"/>
      <c r="E30" s="141"/>
      <c r="F30" s="141"/>
      <c r="G30" s="141"/>
      <c r="H30" s="141"/>
      <c r="I30" s="141"/>
    </row>
    <row r="31" spans="1:13" s="70" customFormat="1" ht="15">
      <c r="A31" s="141"/>
      <c r="B31" s="141"/>
      <c r="C31" s="141"/>
      <c r="D31" s="141"/>
      <c r="E31" s="141"/>
      <c r="F31" s="141"/>
      <c r="G31" s="141"/>
      <c r="H31" s="141"/>
      <c r="I31" s="141"/>
    </row>
    <row r="32" spans="1:13" s="73" customFormat="1">
      <c r="A32" s="71"/>
      <c r="B32" s="72"/>
      <c r="C32" s="93"/>
      <c r="D32" s="140" t="s">
        <v>136</v>
      </c>
      <c r="E32" s="140"/>
      <c r="F32" s="140"/>
      <c r="G32" s="71"/>
      <c r="H32" s="140" t="s">
        <v>137</v>
      </c>
      <c r="I32" s="140"/>
    </row>
    <row r="33" spans="1:9" ht="15">
      <c r="A33" s="60" t="s">
        <v>135</v>
      </c>
      <c r="B33" s="77"/>
      <c r="D33" s="147" t="s">
        <v>150</v>
      </c>
      <c r="E33" s="147"/>
      <c r="F33" s="147"/>
      <c r="H33" s="147" t="s">
        <v>143</v>
      </c>
      <c r="I33" s="147"/>
    </row>
  </sheetData>
  <mergeCells count="19">
    <mergeCell ref="A31:I31"/>
    <mergeCell ref="D32:F32"/>
    <mergeCell ref="H32:I32"/>
    <mergeCell ref="D33:F33"/>
    <mergeCell ref="H33:I33"/>
    <mergeCell ref="A26:I26"/>
    <mergeCell ref="A27:I27"/>
    <mergeCell ref="A28:I28"/>
    <mergeCell ref="A29:I29"/>
    <mergeCell ref="A30:I30"/>
    <mergeCell ref="A1:I1"/>
    <mergeCell ref="A2:I2"/>
    <mergeCell ref="A3:I3"/>
    <mergeCell ref="A25:I25"/>
    <mergeCell ref="G7:H7"/>
    <mergeCell ref="G6:H6"/>
    <mergeCell ref="G4:H4"/>
    <mergeCell ref="I11:I24"/>
    <mergeCell ref="B7:C7"/>
  </mergeCells>
  <printOptions horizontalCentered="1"/>
  <pageMargins left="0.51181102362204722" right="0.51181102362204722" top="0.55118110236220474" bottom="0.55118110236220474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"/>
  <sheetViews>
    <sheetView workbookViewId="0">
      <selection activeCell="C8" sqref="C8"/>
    </sheetView>
  </sheetViews>
  <sheetFormatPr defaultRowHeight="20.25"/>
  <sheetData>
    <row r="3" spans="2:4">
      <c r="B3" t="s">
        <v>111</v>
      </c>
      <c r="C3" t="s">
        <v>119</v>
      </c>
      <c r="D3" t="s">
        <v>25</v>
      </c>
    </row>
    <row r="4" spans="2:4">
      <c r="B4" t="s">
        <v>112</v>
      </c>
      <c r="C4" t="s">
        <v>117</v>
      </c>
      <c r="D4" t="s">
        <v>26</v>
      </c>
    </row>
    <row r="5" spans="2:4">
      <c r="B5" t="s">
        <v>113</v>
      </c>
      <c r="C5" t="s">
        <v>118</v>
      </c>
      <c r="D5" t="s">
        <v>29</v>
      </c>
    </row>
    <row r="6" spans="2:4">
      <c r="B6" t="s">
        <v>114</v>
      </c>
      <c r="C6" t="s">
        <v>119</v>
      </c>
      <c r="D6" t="s">
        <v>26</v>
      </c>
    </row>
    <row r="7" spans="2:4">
      <c r="B7" t="s">
        <v>115</v>
      </c>
      <c r="C7" t="s">
        <v>120</v>
      </c>
      <c r="D7" t="s">
        <v>26</v>
      </c>
    </row>
    <row r="8" spans="2:4">
      <c r="B8" t="s">
        <v>116</v>
      </c>
      <c r="C8" t="s">
        <v>118</v>
      </c>
      <c r="D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2016-17</vt:lpstr>
      <vt:lpstr>Sheet1</vt:lpstr>
      <vt:lpstr>Sheet2</vt:lpstr>
      <vt:lpstr>1 to 5 (2)</vt:lpstr>
      <vt:lpstr>Sheet4</vt:lpstr>
      <vt:lpstr>Sheet3</vt:lpstr>
    </vt:vector>
  </TitlesOfParts>
  <Company>Karjat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Baliware</dc:creator>
  <cp:lastModifiedBy>PC</cp:lastModifiedBy>
  <cp:lastPrinted>2019-11-30T00:08:39Z</cp:lastPrinted>
  <dcterms:created xsi:type="dcterms:W3CDTF">2012-04-19T23:11:10Z</dcterms:created>
  <dcterms:modified xsi:type="dcterms:W3CDTF">2026-08-17T10:55:00Z</dcterms:modified>
</cp:coreProperties>
</file>